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mai\Desktop\CS388 Project\"/>
    </mc:Choice>
  </mc:AlternateContent>
  <xr:revisionPtr revIDLastSave="0" documentId="8_{C7FC07CF-7F21-704D-A713-2E15A7FF9DE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hase 1" sheetId="5" r:id="rId1"/>
    <sheet name="Phase 2 " sheetId="10" r:id="rId2"/>
    <sheet name="Phase 3" sheetId="7" r:id="rId3"/>
  </sheets>
  <definedNames>
    <definedName name="_xlnm.Print_Area" localSheetId="0">'Phase 1'!$B$7:$T$30</definedName>
    <definedName name="_xlnm.Print_Area" localSheetId="2">'Phase 3'!$B$1:$T$12</definedName>
    <definedName name="_xlnm.Print_Area" localSheetId="1">'Phase 2 '!$B$1:$T$11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D30" i="5"/>
  <c r="E19" i="5"/>
  <c r="F28" i="5"/>
  <c r="F27" i="5"/>
  <c r="F29" i="5"/>
  <c r="F19" i="5"/>
  <c r="E20" i="5"/>
  <c r="F20" i="5"/>
  <c r="F14" i="5"/>
  <c r="F12" i="5"/>
  <c r="D3" i="5"/>
  <c r="F10" i="5"/>
  <c r="F17" i="5"/>
  <c r="F30" i="5"/>
  <c r="H3" i="5"/>
  <c r="E30" i="5"/>
  <c r="F3" i="5"/>
</calcChain>
</file>

<file path=xl/sharedStrings.xml><?xml version="1.0" encoding="utf-8"?>
<sst xmlns="http://schemas.openxmlformats.org/spreadsheetml/2006/main" count="262" uniqueCount="150">
  <si>
    <t>SPRINT BACKLOG</t>
  </si>
  <si>
    <t>CURRENT DATE</t>
  </si>
  <si>
    <t>SPRINT START DATE</t>
  </si>
  <si>
    <t>TOTAL ASSIGNED HOURS</t>
  </si>
  <si>
    <t>HOURS USED</t>
  </si>
  <si>
    <t>HOURS REMAINING</t>
  </si>
  <si>
    <t>SPRINT GOAL</t>
  </si>
  <si>
    <t>SPRINT TRACKING</t>
  </si>
  <si>
    <t>User Stories and Tasks</t>
  </si>
  <si>
    <t>ASSIGNED TO</t>
  </si>
  <si>
    <t>ASSIGNED HOURS</t>
  </si>
  <si>
    <t>AVAILABLE HOURS REMAINING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</si>
  <si>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</si>
  <si>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</si>
  <si>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</si>
  <si>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</si>
  <si>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</si>
  <si>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</si>
  <si>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</si>
  <si>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</si>
  <si>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</si>
  <si>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</si>
  <si>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</si>
  <si>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</si>
  <si>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</si>
  <si>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</si>
  <si>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Task 1.1 Design the event browsing interface (filters by category/date/location).</t>
  </si>
  <si>
    <t>Rania Farhan</t>
  </si>
  <si>
    <t>Task 1.2 Connect browsing feature to the event database</t>
  </si>
  <si>
    <t>TOTAL</t>
  </si>
  <si>
    <t>Add More Tasks and User Stories if You Need to</t>
  </si>
  <si>
    <t>14-DAY SPRINT BACKLOG</t>
  </si>
  <si>
    <t>Layan Ahmad</t>
  </si>
  <si>
    <t>User Story 1: As an event enthusiast I want to browse and search for events by category, date, or location so that I can easily find events that match my interests</t>
  </si>
  <si>
    <t>User Story 2:  As an Event Organizer I want to create and publish my events on the platform so that I can reach more people and promote my event.</t>
  </si>
  <si>
    <t xml:space="preserve">Task 2.1:  Design “Create Event” form UI (title, date, description, image, capacity) </t>
  </si>
  <si>
    <t xml:space="preserve">Task 2.2: Implement backend logic for event creation and saving to database </t>
  </si>
  <si>
    <t>Shahad Alotaibi</t>
  </si>
  <si>
    <t xml:space="preserve">Task 2.3: Enable event publishing &amp; admin approval workflow </t>
  </si>
  <si>
    <t xml:space="preserve">User Story 3: As a Event Enthusiast l want to Book event tickets online so that I can save time and avoid waiting in lines </t>
  </si>
  <si>
    <t>Lamyaa Alotaibi</t>
  </si>
  <si>
    <t>Raghad Alsemaih</t>
  </si>
  <si>
    <t xml:space="preserve">Task 3.2 Send confirmation email or message after successful booking </t>
  </si>
  <si>
    <t xml:space="preserve">Task 3.1 Design ticket booking UI with event details and seat options </t>
  </si>
  <si>
    <t>User Story 4: As a Event Enthusiast l want to Discover different events based on my interests so that I can attend events that match what I enjoy</t>
  </si>
  <si>
    <t>Task 4.1 Develop search and filter functions by category and location</t>
  </si>
  <si>
    <t xml:space="preserve">Task 4.2 Implement recommendation system based on user preferences </t>
  </si>
  <si>
    <t xml:space="preserve">User Story 5: As an Admin, I want to manage users, permissions, and event data so that I can ensure the system is running smoothly and securely. </t>
  </si>
  <si>
    <t xml:space="preserve">Task 5.1 Design admin dashboard for managing users, permissions, and event data. </t>
  </si>
  <si>
    <t xml:space="preserve">Task 5.2 Implement management operations (create data,delete data, edit data). </t>
  </si>
  <si>
    <t xml:space="preserve">Task 5.3 Test and maintain admin functions. </t>
  </si>
  <si>
    <t>Task 5.4 Monitor data consistency and accuracy.</t>
  </si>
  <si>
    <t>User Story 6: As an Event Organizer, I want to manage attendees and view booking analytics so that I can monitor event performance and attendance trends.</t>
  </si>
  <si>
    <t xml:space="preserve">Task 6.1: Design attendee management interface (view, edit, remove attendee details) </t>
  </si>
  <si>
    <t xml:space="preserve">Task 6.2 Implement backend logic for attendee data &amp; syncing with event database </t>
  </si>
  <si>
    <t xml:space="preserve">Task 6.3 Develop analytics dashboard for attendance trends &amp; booking stats 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</si>
  <si>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</si>
  <si>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</si>
  <si>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</si>
  <si>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</si>
  <si>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</si>
  <si>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</si>
  <si>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</si>
  <si>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</si>
  <si>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</si>
  <si>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</si>
  <si>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</si>
  <si>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</si>
  <si>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Deliver the core event management functionalities;  including event browsing, creation, booking, and user managemen.  To ensure a complete and functional MVP for the event platform.</t>
  </si>
  <si>
    <t>10/19/25</t>
  </si>
  <si>
    <t>Deliver core event management functionalities including user registration, event browsing, event creation, event booking, event approval, and issue tracking.</t>
  </si>
  <si>
    <t>User Story 1: As an Event Enthusiast, Event Organizer sign up using my email, phone number, name, and password, and select my category (Event Enthusiast or Event Organizer) I can create a personalized account and access features that match my role.</t>
  </si>
  <si>
    <t xml:space="preserve"> Task 1.1: Design signup interface (fields for name, email, phone, password, category).</t>
  </si>
  <si>
    <t>• Task 1.2: Implement signup validation and data saving to database.</t>
  </si>
  <si>
    <t xml:space="preserve">User Story 2: As an Event Enthusiast, Event Organizer, Admin, Support Team log in using my registered email or phone number and password I can securely access my account and use the website according to my role. </t>
  </si>
  <si>
    <t>Task 2.1: Design login page (email/phone, password, forgot password)</t>
  </si>
  <si>
    <t>Task 2.2: Connect login page to authentication system (role-based access).</t>
  </si>
  <si>
    <t xml:space="preserve">User Story 3: As an event enthusiast I want to browse and search for events by category, date, or location so that I can easily find events that match my interests. </t>
  </si>
  <si>
    <t>Task 3.1 Design the event browsing interface (filters by category/date/location).</t>
  </si>
  <si>
    <t>Task 3.2 Connect browsing feature to the event database</t>
  </si>
  <si>
    <t>User Story 4:  As an Event Organizer I want to create and publish my events on the website so that I can reach more people and promote my event.</t>
  </si>
  <si>
    <t xml:space="preserve">Task 4.1:  Design “Create Event” form UI (title, date, description, image, capacity) </t>
  </si>
  <si>
    <t xml:space="preserve">Task 4.2: Implement backend logic for event creation and saving to database </t>
  </si>
  <si>
    <t xml:space="preserve">Task 4.3: Enable event publishing &amp; admin approval workflow </t>
  </si>
  <si>
    <t xml:space="preserve">User Story 5: As a Event Enthusiast l want to Book event tickets online so that I can save time and avoid waiting in lines.  </t>
  </si>
  <si>
    <t xml:space="preserve">Task 5.1 Design ticket booking UI with event details and seat options </t>
  </si>
  <si>
    <t xml:space="preserve">Task 5.2 Send confirmation email or message after successful  booking </t>
  </si>
  <si>
    <t xml:space="preserve">User Story 6: As a Admin I want to Review and approve events created by organizers so that I can verified and appropriate events are published on the website. </t>
  </si>
  <si>
    <t xml:space="preserve">Task 6.1: Design “Admin Event Review” interface showing event details (title, description, organizer info, date). </t>
  </si>
  <si>
    <t xml:space="preserve">Task 6.2: Implement backend logic to fetch pending events from the database for admin review. </t>
  </si>
  <si>
    <t xml:space="preserve">Task 6.3: Implement “Approve” and “Reject” functionality with status update in database. </t>
  </si>
  <si>
    <t xml:space="preserve">Task 6.4: send an alert after approval/rejection. </t>
  </si>
  <si>
    <t xml:space="preserve">Task 6.5: Test event approval workflow to ensure only verified events are published. </t>
  </si>
  <si>
    <t>User Story 7:  As an Admin, I want to View all support issues so that I can monitor user problems and ensure they are handled properly.</t>
  </si>
  <si>
    <t>Task 7.1:  Create an admin page that displays all support issues.</t>
  </si>
  <si>
    <t>Task 7.2: Fetch issues from the database and list them in a table.</t>
  </si>
  <si>
    <t>Task 7.3: Add role validation so only Admin and support can access the page.</t>
  </si>
  <si>
    <t>Task 7.4: Sort issues by newest first.</t>
  </si>
  <si>
    <t>User Story 8:  As a Support, I want to View all user issues and update their status so that I can manage and resolve user complaints efficiently.</t>
  </si>
  <si>
    <t>Task 8.1: Create backend query to fetch all issues assigned to the support dashboard.</t>
  </si>
  <si>
    <t>Task 8.2: Display issues in a table with columns (ID, User, Subject, Status, Priority, Created).</t>
  </si>
  <si>
    <t>Task 8.3:  Add a dropdown for updating issue status.</t>
  </si>
  <si>
    <t>Task 8.4:  Implement POST request to update the issue’s status in the database.</t>
  </si>
  <si>
    <t xml:space="preserve">User Story 9: As an Event Enthusiast I want to view, download, and manage my booked tickets so that I can easily access them during events or share them if needed.  </t>
  </si>
  <si>
    <t xml:space="preserve">Task 9.1: Design “My Tickets” page UI (list of booked events, ticket details, and options). </t>
  </si>
  <si>
    <t xml:space="preserve">Task 9.2: Implement backend logic to fetch user’s booked tickets from the database. </t>
  </si>
  <si>
    <t xml:space="preserve">Task 9.3: Add “Download Ticket (PDF) ” and "View  Ticket ( QR Code)" functionality. </t>
  </si>
  <si>
    <t xml:space="preserve">Task 9.4:Implement “Cancel Ticket” and “Share Ticket” options for user management. </t>
  </si>
  <si>
    <t xml:space="preserve">Task 9.5: Test ticket management features (view/download/share/cancel). </t>
  </si>
  <si>
    <t>User Story 10: As an Event Enthusiast, I want to receive email and SMS notifications for any updates to my booked events so that I stay informed about any schedule changes or details.</t>
  </si>
  <si>
    <t xml:space="preserve">Task 10.1: Add notification feature (email and SMS) for event updates. </t>
  </si>
  <si>
    <t xml:space="preserve">Task 10.2: Send automatic message when event date or time changes. </t>
  </si>
  <si>
    <t xml:space="preserve">User Story 11: As a Event Enthusiast l want to Discover different events based on my interests so that I can attend events that match what I enjoy. </t>
  </si>
  <si>
    <t>Task 11.1 Develop search and filter functions by category and location</t>
  </si>
  <si>
    <t xml:space="preserve">Task 11.2 Implement recommendation system based on user preferences </t>
  </si>
  <si>
    <t xml:space="preserve">User Story 12: As an Admin, I want to manage users, via Dashboard and event data so that I can ensure the system is running smoothly and securely. </t>
  </si>
  <si>
    <t xml:space="preserve">Task 12.1 Design admin dashboard for managing users, permissions, and event data. </t>
  </si>
  <si>
    <t>User Story 13: As an Event Organizer, I want to manage attendees and view booking analytics so that I can monitor event performance and attendance trends.</t>
  </si>
  <si>
    <t xml:space="preserve">Task 13.1: Design attendee management interface (view, edit, remove attendee details) </t>
  </si>
  <si>
    <t xml:space="preserve">Task 13.2 Implement backend logic for attendee data &amp; syncing with event database </t>
  </si>
  <si>
    <t xml:space="preserve">Task 13.3 Develop analytics dashboard for attendance trends &amp; booking stats </t>
  </si>
  <si>
    <t>Rania</t>
  </si>
  <si>
    <t>Raghad</t>
  </si>
  <si>
    <t>User Story 2 As a Marketing Team I want to Manage marketing campaigns and ads so that I can increase visibility and engagement</t>
  </si>
  <si>
    <t>Task 2.1: Add Instagram section to homepage UI</t>
  </si>
  <si>
    <t>Shahad</t>
  </si>
  <si>
    <t>Task 2.2: Insert clickable Instagram link with brand style</t>
  </si>
  <si>
    <t>Layan</t>
  </si>
  <si>
    <t>Task 2.3: Ensure Instagram link opens externally and works on all devices</t>
  </si>
  <si>
    <t>User Story 3 Event Enthusiast, Event Organizer, Admin, Support Team I want to reset my forgotten password so that I can regain access to my account securely</t>
  </si>
  <si>
    <t>Task 3.1: Design “Forgot Password” form with email input.</t>
  </si>
  <si>
    <t>Task 3.2: Implement backend logic to generate a secure reset token and store it in the database.</t>
  </si>
  <si>
    <t>Lamyaa</t>
  </si>
  <si>
    <t xml:space="preserve"> Deliver core event management functionalities including user registration, event browsing, event creation, event booking, event approval, and issue tracking.</t>
  </si>
  <si>
    <t xml:space="preserve">User story 1.1: As an Event Organizer, I want to edit my events so I can update event details. </t>
  </si>
  <si>
    <t>User story 1.2 As an Event Organizer, I want to delete my events so I stop registrations when needed.</t>
  </si>
  <si>
    <t>Task 1.2.1 Add “Delete Event” button to allow organizer to remove an event.</t>
  </si>
  <si>
    <t>Task 1.2.2 Implement confirmation prompt before deleting an event.</t>
  </si>
  <si>
    <t>Task 1.1.1 add “Edit Event” button in the organizer events page.</t>
  </si>
  <si>
    <t>Task 1.1.2 Create “Edit Event” form to update event details (name, description, date, time, price, capacity, category, venue).</t>
  </si>
  <si>
    <t>Task 1.1.3 Develop backend logic to update the event in the database.</t>
  </si>
  <si>
    <t>Task 1.2.3: Develop backend logic to delete event safely without breaking bookings/tickets.</t>
  </si>
  <si>
    <t>Task 3.3: Create “Reset Password” page to enter a new password using the token.</t>
  </si>
  <si>
    <t>Task 3.4: Validate token, update password in database, and show success confirmation.</t>
  </si>
  <si>
    <t xml:space="preserve">Task 12.2 Test and maintain admin functions. </t>
  </si>
  <si>
    <t>Task 12.3 Monitor data consistency and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</si>
</sst>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6" x14ac:knownFonts="1">
    <font>
      <sz val="12"/>
      <color theme="1"/>
      <name val="Arial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Arial"/>
      <family val="2"/>
      <scheme val="minor"/>
    </font>
    <font>
      <b/>
      <sz val="22"/>
      <color theme="0" tint="-0.499984740745262"/>
      <name val="Century Gothic"/>
      <family val="1"/>
    </font>
    <font>
      <sz val="22"/>
      <color theme="1"/>
      <name val="Arial"/>
      <family val="2"/>
      <scheme val="minor"/>
    </font>
    <font>
      <sz val="14"/>
      <color theme="1" tint="0.34998626667073579"/>
      <name val="Century Gothic"/>
      <family val="2"/>
    </font>
    <font>
      <sz val="22"/>
      <color theme="1"/>
      <name val="Century Gothic"/>
      <family val="1"/>
    </font>
    <font>
      <sz val="9"/>
      <color theme="1"/>
      <name val="Century Gothic"/>
      <family val="2"/>
    </font>
    <font>
      <i/>
      <sz val="9"/>
      <color theme="1"/>
      <name val="Century Gothic"/>
      <family val="2"/>
    </font>
    <font>
      <b/>
      <sz val="12"/>
      <color theme="0"/>
      <name val="Century Gothic"/>
      <family val="1"/>
    </font>
    <font>
      <sz val="14"/>
      <color theme="0"/>
      <name val="Century Gothic"/>
      <family val="2"/>
    </font>
    <font>
      <sz val="14"/>
      <color theme="9" tint="-0.249977111117893"/>
      <name val="Century Gothic"/>
      <family val="2"/>
    </font>
    <font>
      <b/>
      <sz val="18"/>
      <color theme="9" tint="-0.249977111117893"/>
      <name val="Century Gothic"/>
      <family val="2"/>
    </font>
    <font>
      <b/>
      <sz val="22"/>
      <color theme="1" tint="0.34998626667073579"/>
      <name val="Century Gothic"/>
      <family val="1"/>
    </font>
    <font>
      <sz val="22"/>
      <color theme="1" tint="0.34998626667073579"/>
      <name val="Arial"/>
      <family val="2"/>
      <scheme val="minor"/>
    </font>
    <font>
      <sz val="12"/>
      <color theme="0" tint="-0.499984740745262"/>
      <name val="Century Gothic"/>
      <family val="2"/>
    </font>
    <font>
      <b/>
      <sz val="10"/>
      <color theme="1"/>
      <name val="Century Gothic"/>
      <family val="2"/>
    </font>
    <font>
      <b/>
      <sz val="14"/>
      <color theme="1" tint="0.34998626667073579"/>
      <name val="Century Gothic"/>
      <family val="2"/>
    </font>
    <font>
      <b/>
      <sz val="14"/>
      <color theme="9" tint="-0.249977111117893"/>
      <name val="Century Gothic"/>
      <family val="2"/>
    </font>
    <font>
      <sz val="13"/>
      <color theme="1"/>
      <name val=".AppleSystemUIFont"/>
      <charset val="1"/>
    </font>
    <font>
      <sz val="12"/>
      <color rgb="FF808080"/>
      <name val="Century Gothic"/>
      <family val="2"/>
    </font>
    <font>
      <b/>
      <sz val="18"/>
      <color rgb="FF548235"/>
      <name val="Century Gothic"/>
      <family val="2"/>
    </font>
    <font>
      <sz val="22"/>
      <color rgb="FF000000"/>
      <name val="Arial"/>
      <family val="2"/>
      <scheme val="minor"/>
    </font>
    <font>
      <b/>
      <sz val="14"/>
      <color rgb="FF595959"/>
      <name val="Century Gothic"/>
      <family val="2"/>
    </font>
    <font>
      <sz val="13"/>
      <color rgb="FF000000"/>
      <name val=".AppleSystemUIFont"/>
      <charset val="1"/>
    </font>
    <font>
      <sz val="14"/>
      <color rgb="FF595959"/>
      <name val="Century Gothic"/>
      <family val="2"/>
    </font>
    <font>
      <i/>
      <sz val="9"/>
      <color rgb="FF000000"/>
      <name val="Century Gothic"/>
      <family val="2"/>
    </font>
    <font>
      <sz val="9"/>
      <color rgb="FF000000"/>
      <name val="Century Gothic"/>
      <family val="2"/>
    </font>
    <font>
      <b/>
      <sz val="10"/>
      <color rgb="FFFFFFFF"/>
      <name val="Century Gothic"/>
      <family val="1"/>
    </font>
    <font>
      <b/>
      <sz val="10"/>
      <color rgb="FF000000"/>
      <name val="Century Gothic"/>
    </font>
    <font>
      <sz val="10"/>
      <color rgb="FF000000"/>
      <name val="Century Gothic"/>
      <family val="1"/>
    </font>
    <font>
      <b/>
      <sz val="10"/>
      <color rgb="FF000000"/>
      <name val="Century Gothic"/>
      <family val="2"/>
    </font>
    <font>
      <b/>
      <sz val="10"/>
      <color rgb="FF000000"/>
      <name val="Century Gothic"/>
      <family val="1"/>
    </font>
    <font>
      <sz val="14"/>
      <color rgb="FFFFFFFF"/>
      <name val="Century Gothic"/>
      <family val="2"/>
    </font>
    <font>
      <b/>
      <sz val="12"/>
      <color rgb="FFFFFFFF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333F4F"/>
        <bgColor rgb="FF000000"/>
      </patternFill>
    </fill>
    <fill>
      <patternFill patternType="solid">
        <fgColor rgb="FF808080"/>
        <bgColor rgb="FF000000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3" fillId="0" borderId="0"/>
  </cellStyleXfs>
  <cellXfs count="6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164" fontId="16" fillId="4" borderId="2" xfId="0" applyNumberFormat="1" applyFont="1" applyFill="1" applyBorder="1" applyAlignment="1">
      <alignment horizontal="left" vertical="center" indent="1"/>
    </xf>
    <xf numFmtId="164" fontId="8" fillId="9" borderId="1" xfId="0" applyNumberFormat="1" applyFont="1" applyFill="1" applyBorder="1" applyAlignment="1">
      <alignment horizontal="center" vertical="center" wrapText="1"/>
    </xf>
    <xf numFmtId="0" fontId="17" fillId="10" borderId="0" xfId="0" applyFont="1" applyFill="1"/>
    <xf numFmtId="164" fontId="16" fillId="4" borderId="2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wrapText="1"/>
    </xf>
    <xf numFmtId="0" fontId="25" fillId="0" borderId="0" xfId="0" applyFont="1" applyBorder="1" applyAlignment="1">
      <alignment wrapText="1"/>
    </xf>
    <xf numFmtId="0" fontId="28" fillId="14" borderId="6" xfId="0" applyFont="1" applyFill="1" applyBorder="1" applyAlignment="1">
      <alignment wrapText="1"/>
    </xf>
    <xf numFmtId="14" fontId="28" fillId="14" borderId="6" xfId="0" applyNumberFormat="1" applyFont="1" applyFill="1" applyBorder="1" applyAlignment="1">
      <alignment wrapText="1"/>
    </xf>
    <xf numFmtId="0" fontId="29" fillId="15" borderId="6" xfId="0" applyFont="1" applyFill="1" applyBorder="1" applyAlignment="1">
      <alignment wrapText="1"/>
    </xf>
    <xf numFmtId="0" fontId="29" fillId="16" borderId="6" xfId="0" applyFont="1" applyFill="1" applyBorder="1" applyAlignment="1">
      <alignment wrapText="1"/>
    </xf>
    <xf numFmtId="0" fontId="29" fillId="17" borderId="6" xfId="0" applyFont="1" applyFill="1" applyBorder="1" applyAlignment="1">
      <alignment wrapText="1"/>
    </xf>
    <xf numFmtId="0" fontId="31" fillId="11" borderId="6" xfId="0" applyFont="1" applyFill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0" fontId="35" fillId="18" borderId="6" xfId="0" applyFont="1" applyFill="1" applyBorder="1" applyAlignment="1">
      <alignment wrapText="1"/>
    </xf>
    <xf numFmtId="0" fontId="21" fillId="11" borderId="6" xfId="0" applyFont="1" applyFill="1" applyBorder="1" applyAlignment="1">
      <alignment wrapText="1"/>
    </xf>
    <xf numFmtId="14" fontId="21" fillId="11" borderId="6" xfId="0" applyNumberFormat="1" applyFont="1" applyFill="1" applyBorder="1" applyAlignment="1">
      <alignment wrapText="1"/>
    </xf>
    <xf numFmtId="0" fontId="23" fillId="0" borderId="0" xfId="0" applyFont="1" applyBorder="1" applyAlignment="1">
      <alignment wrapText="1"/>
    </xf>
    <xf numFmtId="0" fontId="24" fillId="13" borderId="0" xfId="0" applyFont="1" applyFill="1" applyBorder="1" applyAlignment="1">
      <alignment wrapText="1"/>
    </xf>
    <xf numFmtId="0" fontId="26" fillId="13" borderId="0" xfId="0" applyFont="1" applyFill="1" applyBorder="1" applyAlignment="1">
      <alignment wrapText="1"/>
    </xf>
    <xf numFmtId="0" fontId="21" fillId="11" borderId="0" xfId="0" applyFont="1" applyFill="1" applyBorder="1" applyAlignment="1">
      <alignment wrapText="1"/>
    </xf>
    <xf numFmtId="0" fontId="31" fillId="0" borderId="8" xfId="0" applyFont="1" applyBorder="1" applyAlignment="1">
      <alignment wrapText="1"/>
    </xf>
    <xf numFmtId="0" fontId="14" fillId="2" borderId="0" xfId="0" applyFont="1" applyFill="1" applyAlignment="1">
      <alignment vertical="center"/>
    </xf>
    <xf numFmtId="0" fontId="15" fillId="0" borderId="0" xfId="0" applyFont="1" applyAlignment="1"/>
    <xf numFmtId="0" fontId="9" fillId="0" borderId="3" xfId="0" applyFont="1" applyBorder="1" applyAlignment="1">
      <alignment horizontal="right" vertical="center" indent="1"/>
    </xf>
    <xf numFmtId="0" fontId="11" fillId="8" borderId="4" xfId="0" applyFont="1" applyFill="1" applyBorder="1" applyAlignment="1">
      <alignment horizontal="right" vertical="center" wrapText="1" indent="1"/>
    </xf>
    <xf numFmtId="0" fontId="11" fillId="8" borderId="5" xfId="0" applyFont="1" applyFill="1" applyBorder="1" applyAlignment="1">
      <alignment horizontal="right" vertical="center" wrapText="1" indent="1"/>
    </xf>
    <xf numFmtId="0" fontId="19" fillId="0" borderId="0" xfId="0" applyFont="1" applyAlignment="1">
      <alignment horizontal="center"/>
    </xf>
    <xf numFmtId="1" fontId="13" fillId="6" borderId="2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32" fillId="0" borderId="7" xfId="0" applyFont="1" applyBorder="1" applyAlignment="1">
      <alignment wrapText="1"/>
    </xf>
    <xf numFmtId="0" fontId="32" fillId="0" borderId="9" xfId="0" applyFont="1" applyBorder="1" applyAlignment="1">
      <alignment wrapText="1"/>
    </xf>
    <xf numFmtId="0" fontId="34" fillId="18" borderId="7" xfId="0" applyFont="1" applyFill="1" applyBorder="1" applyAlignment="1">
      <alignment wrapText="1"/>
    </xf>
    <xf numFmtId="0" fontId="34" fillId="18" borderId="9" xfId="0" applyFont="1" applyFill="1" applyBorder="1" applyAlignment="1">
      <alignment wrapText="1"/>
    </xf>
    <xf numFmtId="0" fontId="22" fillId="12" borderId="7" xfId="0" applyFont="1" applyFill="1" applyBorder="1" applyAlignment="1">
      <alignment wrapText="1"/>
    </xf>
    <xf numFmtId="0" fontId="22" fillId="12" borderId="8" xfId="0" applyFont="1" applyFill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0" borderId="9" xfId="0" applyFont="1" applyBorder="1" applyAlignment="1">
      <alignment wrapText="1"/>
    </xf>
    <xf numFmtId="0" fontId="22" fillId="12" borderId="9" xfId="0" applyFont="1" applyFill="1" applyBorder="1" applyAlignment="1">
      <alignment wrapText="1"/>
    </xf>
    <xf numFmtId="0" fontId="27" fillId="0" borderId="10" xfId="0" applyFont="1" applyBorder="1" applyAlignment="1">
      <alignment wrapText="1"/>
    </xf>
    <xf numFmtId="0" fontId="30" fillId="0" borderId="7" xfId="0" applyFont="1" applyBorder="1" applyAlignment="1">
      <alignment wrapText="1"/>
    </xf>
    <xf numFmtId="0" fontId="30" fillId="0" borderId="9" xfId="0" applyFont="1" applyBorder="1" applyAlignment="1">
      <alignment wrapText="1"/>
    </xf>
    <xf numFmtId="0" fontId="12" fillId="0" borderId="0" xfId="0" applyFont="1" applyAlignment="1">
      <alignment horizontal="center"/>
    </xf>
    <xf numFmtId="1" fontId="13" fillId="6" borderId="11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</cellXfs>
  <cellStyles count="2">
    <cellStyle name="عادي" xfId="0" builtinId="0"/>
    <cellStyle name="Normal 2" xfId="1" xr:uid="{924B28E4-7E22-A240-8564-A59A9A5220BC}"/>
  </cellStyles>
  <dxfs count="0"/>
  <tableStyles count="0" defaultTableStyle="TableStyleMedium9" defaultPivotStyle="PivotStyleMedium4"/>
  <colors>
    <mruColors>
      <color rgb="FF00BD32"/>
      <color rgb="FFE5E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10D4-F843-244C-9474-0C5D6C1C05CB}">
  <sheetPr>
    <tabColor theme="3" tint="0.79998168889431442"/>
    <pageSetUpPr fitToPage="1"/>
  </sheetPr>
  <dimension ref="B1:T125"/>
  <sheetViews>
    <sheetView showGridLines="0" workbookViewId="0">
      <selection activeCell="G20" sqref="G20"/>
    </sheetView>
  </sheetViews>
  <sheetFormatPr defaultColWidth="10.67578125" defaultRowHeight="12.75" x14ac:dyDescent="0.15"/>
  <cols>
    <col min="1" max="1" width="3.14453125" style="1" customWidth="1"/>
    <col min="2" max="2" width="34.72265625" style="1" customWidth="1"/>
    <col min="3" max="3" width="42.92578125" style="1" customWidth="1"/>
    <col min="4" max="6" width="18.765625" style="1" customWidth="1"/>
    <col min="7" max="20" width="10.67578125" style="1" customWidth="1"/>
    <col min="21" max="21" width="3.14453125" style="1" customWidth="1"/>
    <col min="22" max="16384" width="10.67578125" style="1"/>
  </cols>
  <sheetData>
    <row r="1" spans="2:20" s="7" customFormat="1" ht="45" customHeight="1" x14ac:dyDescent="0.3"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2:20" ht="26.25" customHeight="1" x14ac:dyDescent="0.3">
      <c r="B2" s="21" t="s">
        <v>1</v>
      </c>
      <c r="C2" s="22" t="s">
        <v>2</v>
      </c>
      <c r="D2" s="47" t="s">
        <v>3</v>
      </c>
      <c r="E2" s="47"/>
      <c r="F2" s="47" t="s">
        <v>4</v>
      </c>
      <c r="G2" s="47"/>
      <c r="H2" s="47" t="s">
        <v>5</v>
      </c>
      <c r="I2" s="47"/>
      <c r="J2" s="47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49.9" customHeight="1" x14ac:dyDescent="0.3">
      <c r="B3" s="20">
        <v>45949</v>
      </c>
      <c r="C3" s="20">
        <v>46001</v>
      </c>
      <c r="D3" s="48">
        <f>D30</f>
        <v>86</v>
      </c>
      <c r="E3" s="48"/>
      <c r="F3" s="48">
        <f>E30</f>
        <v>36</v>
      </c>
      <c r="G3" s="48"/>
      <c r="H3" s="48">
        <f>F30</f>
        <v>5</v>
      </c>
      <c r="I3" s="48"/>
      <c r="J3" s="48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49.9" customHeight="1" x14ac:dyDescent="0.3">
      <c r="B4" s="23" t="s">
        <v>6</v>
      </c>
      <c r="C4" s="24" t="s">
        <v>68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2" customHeight="1" x14ac:dyDescent="0.3">
      <c r="B5" s="8"/>
      <c r="C5" s="4"/>
      <c r="D5" s="14"/>
      <c r="E5" s="1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45" customHeight="1" x14ac:dyDescent="0.3">
      <c r="B6" s="5" t="s">
        <v>7</v>
      </c>
      <c r="C6" s="4"/>
      <c r="D6" s="44"/>
      <c r="E6" s="44"/>
      <c r="F6" s="44"/>
      <c r="G6" s="18">
        <v>46001</v>
      </c>
      <c r="H6" s="16" t="s">
        <v>56</v>
      </c>
      <c r="I6" s="16" t="s">
        <v>57</v>
      </c>
      <c r="J6" s="16" t="s">
        <v>58</v>
      </c>
      <c r="K6" s="16" t="s">
        <v>59</v>
      </c>
      <c r="L6" s="16" t="s">
        <v>60</v>
      </c>
      <c r="M6" s="16" t="s">
        <v>61</v>
      </c>
      <c r="N6" s="16" t="s">
        <v>62</v>
      </c>
      <c r="O6" s="16" t="s">
        <v>63</v>
      </c>
      <c r="P6" s="16" t="s">
        <v>64</v>
      </c>
      <c r="Q6" s="16" t="s">
        <v>65</v>
      </c>
      <c r="R6" s="16" t="s">
        <v>66</v>
      </c>
      <c r="S6" s="16" t="s">
        <v>67</v>
      </c>
      <c r="T6" s="16">
        <v>46001</v>
      </c>
    </row>
    <row r="7" spans="2:20" ht="34.9" customHeight="1" x14ac:dyDescent="0.15">
      <c r="B7" s="9" t="s">
        <v>8</v>
      </c>
      <c r="C7" s="9" t="s">
        <v>9</v>
      </c>
      <c r="D7" s="15" t="s">
        <v>10</v>
      </c>
      <c r="E7" s="15" t="s">
        <v>4</v>
      </c>
      <c r="F7" s="15" t="s">
        <v>11</v>
      </c>
      <c r="G7" s="13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3" t="s">
        <v>18</v>
      </c>
      <c r="N7" s="13" t="s">
        <v>19</v>
      </c>
      <c r="O7" s="13" t="s">
        <v>20</v>
      </c>
      <c r="P7" s="13" t="s">
        <v>21</v>
      </c>
      <c r="Q7" s="13" t="s">
        <v>22</v>
      </c>
      <c r="R7" s="13" t="s">
        <v>23</v>
      </c>
      <c r="S7" s="13" t="s">
        <v>24</v>
      </c>
      <c r="T7" s="13" t="s">
        <v>25</v>
      </c>
    </row>
    <row r="8" spans="2:20" ht="25.15" customHeight="1" x14ac:dyDescent="0.15">
      <c r="B8" s="49" t="s">
        <v>33</v>
      </c>
      <c r="C8" s="50"/>
      <c r="D8" s="10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2:20" ht="44.25" customHeight="1" x14ac:dyDescent="0.15">
      <c r="B9" s="3" t="s">
        <v>26</v>
      </c>
      <c r="C9" s="3" t="s">
        <v>27</v>
      </c>
      <c r="D9" s="10">
        <v>7</v>
      </c>
      <c r="E9" s="10">
        <v>7</v>
      </c>
      <c r="F9" s="10">
        <f>D9-E9</f>
        <v>0</v>
      </c>
      <c r="G9" s="3">
        <v>2</v>
      </c>
      <c r="H9" s="3">
        <v>2</v>
      </c>
      <c r="I9" s="3">
        <v>1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2:20" ht="25.15" customHeight="1" x14ac:dyDescent="0.15">
      <c r="B10" s="3" t="s">
        <v>28</v>
      </c>
      <c r="C10" s="3" t="s">
        <v>27</v>
      </c>
      <c r="D10" s="10">
        <v>7</v>
      </c>
      <c r="E10" s="10">
        <v>6</v>
      </c>
      <c r="F10" s="10">
        <f t="shared" ref="F9:F17" si="0">D10-E10</f>
        <v>1</v>
      </c>
      <c r="G10" s="3">
        <v>0</v>
      </c>
      <c r="H10" s="3">
        <v>0</v>
      </c>
      <c r="I10" s="3">
        <v>0</v>
      </c>
      <c r="J10" s="3">
        <v>0</v>
      </c>
      <c r="K10" s="3"/>
      <c r="L10" s="3">
        <v>2</v>
      </c>
      <c r="M10" s="3">
        <v>2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2:20" ht="25.15" customHeight="1" x14ac:dyDescent="0.15">
      <c r="B11" s="49" t="s">
        <v>34</v>
      </c>
      <c r="C11" s="50"/>
      <c r="D11" s="10"/>
      <c r="E11" s="10"/>
      <c r="F11" s="10"/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2:20" ht="25.15" customHeight="1" x14ac:dyDescent="0.15">
      <c r="B12" s="3" t="s">
        <v>35</v>
      </c>
      <c r="C12" s="3" t="s">
        <v>37</v>
      </c>
      <c r="D12" s="10">
        <v>7</v>
      </c>
      <c r="E12" s="10">
        <v>5</v>
      </c>
      <c r="F12" s="10">
        <f t="shared" ref="F11:F14" si="1">D12-E12</f>
        <v>2</v>
      </c>
      <c r="G12" s="3">
        <v>0</v>
      </c>
      <c r="H12" s="3">
        <v>0</v>
      </c>
      <c r="I12" s="3">
        <v>1</v>
      </c>
      <c r="J12" s="3">
        <v>1</v>
      </c>
      <c r="K12" s="3">
        <v>2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2:20" ht="25.15" customHeight="1" x14ac:dyDescent="0.15">
      <c r="B13" s="3" t="s">
        <v>36</v>
      </c>
      <c r="C13" s="3" t="s">
        <v>37</v>
      </c>
      <c r="D13" s="10">
        <v>3</v>
      </c>
      <c r="E13" s="10">
        <v>3</v>
      </c>
      <c r="F13" s="10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2:20" ht="25.15" customHeight="1" x14ac:dyDescent="0.15">
      <c r="B14" s="3" t="s">
        <v>38</v>
      </c>
      <c r="C14" s="3" t="s">
        <v>37</v>
      </c>
      <c r="D14" s="10">
        <v>5</v>
      </c>
      <c r="E14" s="10">
        <v>4</v>
      </c>
      <c r="F14" s="10">
        <f t="shared" si="1"/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2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2:20" ht="25.15" customHeight="1" x14ac:dyDescent="0.15">
      <c r="B15" s="49" t="s">
        <v>39</v>
      </c>
      <c r="C15" s="50"/>
      <c r="D15" s="10"/>
      <c r="E15" s="10"/>
      <c r="F15" s="10"/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2:20" ht="25.15" customHeight="1" x14ac:dyDescent="0.15">
      <c r="B16" s="3" t="s">
        <v>43</v>
      </c>
      <c r="C16" s="3" t="s">
        <v>27</v>
      </c>
      <c r="D16" s="10">
        <v>5</v>
      </c>
      <c r="E16" s="10">
        <v>5</v>
      </c>
      <c r="F16" s="10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3</v>
      </c>
      <c r="S16" s="3">
        <v>0</v>
      </c>
      <c r="T16" s="3">
        <v>0</v>
      </c>
    </row>
    <row r="17" spans="2:20" ht="25.15" customHeight="1" x14ac:dyDescent="0.15">
      <c r="B17" s="3" t="s">
        <v>42</v>
      </c>
      <c r="C17" s="3" t="s">
        <v>32</v>
      </c>
      <c r="D17" s="10">
        <v>7</v>
      </c>
      <c r="E17" s="10">
        <v>6</v>
      </c>
      <c r="F17" s="10">
        <f t="shared" si="0"/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2</v>
      </c>
      <c r="T17" s="3">
        <v>4</v>
      </c>
    </row>
    <row r="18" spans="2:20" ht="25.15" customHeight="1" x14ac:dyDescent="0.15">
      <c r="B18" s="49" t="s">
        <v>44</v>
      </c>
      <c r="C18" s="50"/>
      <c r="D18" s="10"/>
      <c r="E18" s="10"/>
      <c r="F18" s="10"/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2:20" ht="25.15" customHeight="1" x14ac:dyDescent="0.15">
      <c r="B19" s="3" t="s">
        <v>45</v>
      </c>
      <c r="C19" s="3" t="s">
        <v>32</v>
      </c>
      <c r="D19" s="10">
        <v>6</v>
      </c>
      <c r="E19" s="10">
        <f>SUM(G19:T19)</f>
        <v>6</v>
      </c>
      <c r="F19" s="10">
        <f>D19-E19</f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2</v>
      </c>
      <c r="O19" s="3">
        <v>3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</row>
    <row r="20" spans="2:20" ht="25.15" customHeight="1" x14ac:dyDescent="0.15">
      <c r="B20" s="3" t="s">
        <v>46</v>
      </c>
      <c r="C20" s="3" t="s">
        <v>32</v>
      </c>
      <c r="D20" s="10">
        <v>8</v>
      </c>
      <c r="E20" s="10">
        <f>SUM(G20:T20)</f>
        <v>7</v>
      </c>
      <c r="F20" s="10">
        <f>D20-E20</f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</v>
      </c>
      <c r="P20" s="3">
        <v>0</v>
      </c>
      <c r="Q20" s="3">
        <v>2</v>
      </c>
      <c r="R20" s="3">
        <v>2</v>
      </c>
      <c r="S20" s="3">
        <v>0</v>
      </c>
      <c r="T20" s="3">
        <v>0</v>
      </c>
    </row>
    <row r="21" spans="2:20" ht="25.15" customHeight="1" x14ac:dyDescent="0.15">
      <c r="B21" s="49" t="s">
        <v>47</v>
      </c>
      <c r="C21" s="50"/>
      <c r="D21" s="10"/>
      <c r="E21" s="10"/>
      <c r="F21" s="10"/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2:20" ht="39" customHeight="1" x14ac:dyDescent="0.15">
      <c r="B22" s="3" t="s">
        <v>48</v>
      </c>
      <c r="C22" s="3" t="s">
        <v>41</v>
      </c>
      <c r="D22" s="10">
        <v>6</v>
      </c>
      <c r="E22" s="10">
        <v>6</v>
      </c>
      <c r="F22" s="10">
        <v>0</v>
      </c>
      <c r="G22" s="3">
        <v>0</v>
      </c>
      <c r="H22" s="3">
        <v>1</v>
      </c>
      <c r="I22" s="3">
        <v>1</v>
      </c>
      <c r="J22" s="3">
        <v>2</v>
      </c>
      <c r="K22" s="3">
        <v>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2:20" ht="44.25" customHeight="1" x14ac:dyDescent="0.15">
      <c r="B23" s="3" t="s">
        <v>49</v>
      </c>
      <c r="C23" s="3" t="s">
        <v>41</v>
      </c>
      <c r="D23" s="10">
        <v>9</v>
      </c>
      <c r="E23" s="10">
        <v>9</v>
      </c>
      <c r="F23" s="10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1</v>
      </c>
      <c r="N23" s="3">
        <v>2</v>
      </c>
      <c r="O23" s="3">
        <v>2</v>
      </c>
      <c r="P23" s="3">
        <v>2</v>
      </c>
      <c r="Q23" s="3">
        <v>1</v>
      </c>
      <c r="R23" s="3">
        <v>0</v>
      </c>
      <c r="S23" s="3">
        <v>0</v>
      </c>
      <c r="T23" s="3">
        <v>0</v>
      </c>
    </row>
    <row r="24" spans="2:20" ht="25.15" customHeight="1" x14ac:dyDescent="0.15">
      <c r="B24" s="3" t="s">
        <v>50</v>
      </c>
      <c r="C24" s="3" t="s">
        <v>41</v>
      </c>
      <c r="D24" s="10">
        <v>5</v>
      </c>
      <c r="E24" s="10">
        <v>4</v>
      </c>
      <c r="F24" s="10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2</v>
      </c>
      <c r="S24" s="3">
        <v>2</v>
      </c>
      <c r="T24" s="3">
        <v>0</v>
      </c>
    </row>
    <row r="25" spans="2:20" ht="25.15" customHeight="1" x14ac:dyDescent="0.15">
      <c r="B25" s="3" t="s">
        <v>51</v>
      </c>
      <c r="C25" s="3" t="s">
        <v>41</v>
      </c>
      <c r="D25" s="10">
        <v>1</v>
      </c>
      <c r="E25" s="10">
        <v>1</v>
      </c>
      <c r="F25" s="10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</row>
    <row r="26" spans="2:20" ht="25.15" customHeight="1" x14ac:dyDescent="0.15">
      <c r="B26" s="49" t="s">
        <v>52</v>
      </c>
      <c r="C26" s="50"/>
      <c r="D26" s="10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ht="25.15" customHeight="1" x14ac:dyDescent="0.15">
      <c r="B27" s="3" t="s">
        <v>53</v>
      </c>
      <c r="C27" s="3" t="s">
        <v>40</v>
      </c>
      <c r="D27" s="10">
        <v>5</v>
      </c>
      <c r="E27" s="10">
        <v>5</v>
      </c>
      <c r="F27" s="10">
        <f>D27-E27</f>
        <v>0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</row>
    <row r="28" spans="2:20" ht="25.15" customHeight="1" x14ac:dyDescent="0.15">
      <c r="B28" s="3" t="s">
        <v>54</v>
      </c>
      <c r="C28" s="3" t="s">
        <v>40</v>
      </c>
      <c r="D28" s="10">
        <v>3</v>
      </c>
      <c r="E28" s="10">
        <v>3</v>
      </c>
      <c r="F28" s="10">
        <f>D28-E28</f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2:20" ht="25.15" customHeight="1" x14ac:dyDescent="0.15">
      <c r="B29" s="3" t="s">
        <v>55</v>
      </c>
      <c r="C29" s="3" t="s">
        <v>40</v>
      </c>
      <c r="D29" s="10">
        <v>2</v>
      </c>
      <c r="E29" s="10">
        <v>1</v>
      </c>
      <c r="F29" s="10">
        <f>D29-E29</f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2:20" ht="34.9" customHeight="1" x14ac:dyDescent="0.2">
      <c r="B30" s="45" t="s">
        <v>29</v>
      </c>
      <c r="C30" s="46"/>
      <c r="D30" s="12">
        <f>SUM(D8:D29)</f>
        <v>86</v>
      </c>
      <c r="E30" s="12">
        <f>SUM(E8:E17)</f>
        <v>36</v>
      </c>
      <c r="F30" s="12">
        <f>SUM(F8:F17)</f>
        <v>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2:20" ht="21" customHeight="1" x14ac:dyDescent="0.1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x14ac:dyDescent="0.15">
      <c r="B32" s="2"/>
      <c r="C32" s="19" t="s">
        <v>30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x14ac:dyDescent="0.1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x14ac:dyDescent="0.1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x14ac:dyDescent="0.1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x14ac:dyDescent="0.1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x14ac:dyDescent="0.1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x14ac:dyDescent="0.1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x14ac:dyDescent="0.1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x14ac:dyDescent="0.1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x14ac:dyDescent="0.1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x14ac:dyDescent="0.1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x14ac:dyDescent="0.1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x14ac:dyDescent="0.1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x14ac:dyDescent="0.1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x14ac:dyDescent="0.1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x14ac:dyDescent="0.1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x14ac:dyDescent="0.1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x14ac:dyDescent="0.1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x14ac:dyDescent="0.1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x14ac:dyDescent="0.1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x14ac:dyDescent="0.1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x14ac:dyDescent="0.1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x14ac:dyDescent="0.1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x14ac:dyDescent="0.1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x14ac:dyDescent="0.1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x14ac:dyDescent="0.1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x14ac:dyDescent="0.1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x14ac:dyDescent="0.1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x14ac:dyDescent="0.1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x14ac:dyDescent="0.1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x14ac:dyDescent="0.1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x14ac:dyDescent="0.1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x14ac:dyDescent="0.1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x14ac:dyDescent="0.1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x14ac:dyDescent="0.1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x14ac:dyDescent="0.1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x14ac:dyDescent="0.1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x14ac:dyDescent="0.1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x14ac:dyDescent="0.1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x14ac:dyDescent="0.1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x14ac:dyDescent="0.1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x14ac:dyDescent="0.1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x14ac:dyDescent="0.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x14ac:dyDescent="0.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x14ac:dyDescent="0.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x14ac:dyDescent="0.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x14ac:dyDescent="0.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x14ac:dyDescent="0.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x14ac:dyDescent="0.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x14ac:dyDescent="0.1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x14ac:dyDescent="0.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x14ac:dyDescent="0.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x14ac:dyDescent="0.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x14ac:dyDescent="0.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x14ac:dyDescent="0.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x14ac:dyDescent="0.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x14ac:dyDescent="0.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x14ac:dyDescent="0.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x14ac:dyDescent="0.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x14ac:dyDescent="0.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x14ac:dyDescent="0.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x14ac:dyDescent="0.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x14ac:dyDescent="0.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x14ac:dyDescent="0.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x14ac:dyDescent="0.1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x14ac:dyDescent="0.1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x14ac:dyDescent="0.1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x14ac:dyDescent="0.1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x14ac:dyDescent="0.1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x14ac:dyDescent="0.1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x14ac:dyDescent="0.1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x14ac:dyDescent="0.1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x14ac:dyDescent="0.1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x14ac:dyDescent="0.1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x14ac:dyDescent="0.1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x14ac:dyDescent="0.1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x14ac:dyDescent="0.1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x14ac:dyDescent="0.1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x14ac:dyDescent="0.1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x14ac:dyDescent="0.1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x14ac:dyDescent="0.1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x14ac:dyDescent="0.1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x14ac:dyDescent="0.1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x14ac:dyDescent="0.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x14ac:dyDescent="0.1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x14ac:dyDescent="0.1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x14ac:dyDescent="0.1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x14ac:dyDescent="0.1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x14ac:dyDescent="0.1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x14ac:dyDescent="0.1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x14ac:dyDescent="0.1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x14ac:dyDescent="0.1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x14ac:dyDescent="0.1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x14ac:dyDescent="0.1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</sheetData>
  <mergeCells count="15">
    <mergeCell ref="B1:T1"/>
    <mergeCell ref="D6:F6"/>
    <mergeCell ref="B30:C30"/>
    <mergeCell ref="D2:E2"/>
    <mergeCell ref="D3:E3"/>
    <mergeCell ref="F3:G3"/>
    <mergeCell ref="F2:G2"/>
    <mergeCell ref="H2:J2"/>
    <mergeCell ref="H3:J3"/>
    <mergeCell ref="B8:C8"/>
    <mergeCell ref="B11:C11"/>
    <mergeCell ref="B15:C15"/>
    <mergeCell ref="B18:C18"/>
    <mergeCell ref="B21:C21"/>
    <mergeCell ref="B26:C26"/>
  </mergeCells>
  <pageMargins left="0.3" right="0.3" top="0.3" bottom="0.3" header="0" footer="0"/>
  <pageSetup scale="45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045D-ECB9-1343-BF92-31D89620B0F7}">
  <sheetPr>
    <tabColor theme="3" tint="0.59999389629810485"/>
    <pageSetUpPr fitToPage="1"/>
  </sheetPr>
  <dimension ref="B1:T104"/>
  <sheetViews>
    <sheetView showGridLines="0" tabSelected="1" workbookViewId="0">
      <pane ySplit="1" topLeftCell="A46" activePane="bottomLeft" state="frozen"/>
      <selection activeCell="B1" sqref="B1"/>
      <selection pane="bottomLeft" activeCell="B56" sqref="B56"/>
    </sheetView>
  </sheetViews>
  <sheetFormatPr defaultColWidth="10.67578125" defaultRowHeight="12.75" x14ac:dyDescent="0.15"/>
  <cols>
    <col min="1" max="1" width="3.14453125" style="1" customWidth="1"/>
    <col min="2" max="3" width="42.92578125" style="1" customWidth="1"/>
    <col min="4" max="5" width="18.765625" style="1" customWidth="1"/>
    <col min="6" max="6" width="28.20703125" style="1" customWidth="1"/>
    <col min="7" max="20" width="10.67578125" style="1" customWidth="1"/>
    <col min="21" max="21" width="3.14453125" style="1" customWidth="1"/>
    <col min="22" max="16384" width="10.67578125" style="1"/>
  </cols>
  <sheetData>
    <row r="1" spans="2:20" s="7" customFormat="1" ht="45" customHeight="1" x14ac:dyDescent="0.3">
      <c r="B1" s="42" t="s">
        <v>31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2:20" ht="26.25" customHeight="1" x14ac:dyDescent="0.3">
      <c r="B2" s="5"/>
      <c r="C2" s="6"/>
      <c r="D2" s="63"/>
      <c r="E2" s="63"/>
      <c r="F2" s="63"/>
      <c r="G2" s="63"/>
      <c r="H2" s="63"/>
      <c r="I2" s="63"/>
      <c r="J2" s="63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49.9" customHeight="1" x14ac:dyDescent="0.3">
      <c r="B3" s="17"/>
      <c r="C3" s="17"/>
      <c r="D3" s="64"/>
      <c r="E3" s="65"/>
      <c r="F3" s="64"/>
      <c r="G3" s="65"/>
      <c r="H3" s="64"/>
      <c r="I3" s="66"/>
      <c r="J3" s="65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2" customHeight="1" x14ac:dyDescent="0.3">
      <c r="B4" s="8"/>
      <c r="C4" s="4"/>
      <c r="D4" s="14"/>
      <c r="E4" s="1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45" customHeight="1" x14ac:dyDescent="0.3">
      <c r="B5" s="35" t="s">
        <v>69</v>
      </c>
      <c r="C5" s="36">
        <v>45942</v>
      </c>
      <c r="D5" s="55">
        <v>205</v>
      </c>
      <c r="E5" s="56"/>
      <c r="F5" s="55">
        <v>55</v>
      </c>
      <c r="G5" s="56"/>
      <c r="H5" s="55">
        <v>8</v>
      </c>
      <c r="I5" s="59"/>
      <c r="J5" s="56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2:20" ht="34.9" customHeight="1" x14ac:dyDescent="0.3">
      <c r="B6" s="38" t="s">
        <v>6</v>
      </c>
      <c r="C6" s="25" t="s">
        <v>70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2:20" ht="25.15" customHeight="1" x14ac:dyDescent="0.3">
      <c r="B7" s="39" t="s">
        <v>7</v>
      </c>
      <c r="C7" s="37"/>
      <c r="D7" s="60"/>
      <c r="E7" s="60"/>
      <c r="F7" s="60"/>
      <c r="G7" s="27">
        <v>45942</v>
      </c>
      <c r="H7" s="26" t="s">
        <v>56</v>
      </c>
      <c r="I7" s="26" t="s">
        <v>57</v>
      </c>
      <c r="J7" s="26" t="s">
        <v>58</v>
      </c>
      <c r="K7" s="26" t="s">
        <v>59</v>
      </c>
      <c r="L7" s="26" t="s">
        <v>60</v>
      </c>
      <c r="M7" s="26" t="s">
        <v>61</v>
      </c>
      <c r="N7" s="26" t="s">
        <v>62</v>
      </c>
      <c r="O7" s="26" t="s">
        <v>63</v>
      </c>
      <c r="P7" s="26" t="s">
        <v>64</v>
      </c>
      <c r="Q7" s="26" t="s">
        <v>65</v>
      </c>
      <c r="R7" s="26" t="s">
        <v>66</v>
      </c>
      <c r="S7" s="26" t="s">
        <v>67</v>
      </c>
      <c r="T7" s="27">
        <v>45942</v>
      </c>
    </row>
    <row r="8" spans="2:20" ht="25.15" customHeight="1" x14ac:dyDescent="0.15">
      <c r="B8" s="28" t="s">
        <v>8</v>
      </c>
      <c r="C8" s="28" t="s">
        <v>9</v>
      </c>
      <c r="D8" s="29" t="s">
        <v>10</v>
      </c>
      <c r="E8" s="29" t="s">
        <v>4</v>
      </c>
      <c r="F8" s="29" t="s">
        <v>11</v>
      </c>
      <c r="G8" s="30" t="s">
        <v>12</v>
      </c>
      <c r="H8" s="30" t="s">
        <v>13</v>
      </c>
      <c r="I8" s="30" t="s">
        <v>14</v>
      </c>
      <c r="J8" s="30" t="s">
        <v>15</v>
      </c>
      <c r="K8" s="30" t="s">
        <v>16</v>
      </c>
      <c r="L8" s="30" t="s">
        <v>17</v>
      </c>
      <c r="M8" s="30" t="s">
        <v>18</v>
      </c>
      <c r="N8" s="30" t="s">
        <v>19</v>
      </c>
      <c r="O8" s="30" t="s">
        <v>20</v>
      </c>
      <c r="P8" s="30" t="s">
        <v>21</v>
      </c>
      <c r="Q8" s="30" t="s">
        <v>22</v>
      </c>
      <c r="R8" s="30" t="s">
        <v>23</v>
      </c>
      <c r="S8" s="30" t="s">
        <v>24</v>
      </c>
      <c r="T8" s="30" t="s">
        <v>25</v>
      </c>
    </row>
    <row r="9" spans="2:20" ht="25.15" customHeight="1" x14ac:dyDescent="0.15">
      <c r="B9" s="61" t="s">
        <v>71</v>
      </c>
      <c r="C9" s="62"/>
      <c r="D9" s="31"/>
      <c r="E9" s="31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2:20" ht="25.15" customHeight="1" x14ac:dyDescent="0.15">
      <c r="B10" s="32" t="s">
        <v>72</v>
      </c>
      <c r="C10" s="32" t="s">
        <v>27</v>
      </c>
      <c r="D10" s="31">
        <v>6</v>
      </c>
      <c r="E10" s="31">
        <v>5</v>
      </c>
      <c r="F10" s="31">
        <v>1</v>
      </c>
      <c r="G10" s="32">
        <v>3</v>
      </c>
      <c r="H10" s="32">
        <v>2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</row>
    <row r="11" spans="2:20" ht="34.9" customHeight="1" x14ac:dyDescent="0.15">
      <c r="B11" s="32" t="s">
        <v>73</v>
      </c>
      <c r="C11" s="32" t="s">
        <v>27</v>
      </c>
      <c r="D11" s="31">
        <v>5</v>
      </c>
      <c r="E11" s="31">
        <v>5</v>
      </c>
      <c r="F11" s="31">
        <v>0</v>
      </c>
      <c r="G11" s="32">
        <v>0</v>
      </c>
      <c r="H11" s="32">
        <v>0</v>
      </c>
      <c r="I11" s="32">
        <v>3</v>
      </c>
      <c r="J11" s="32">
        <v>2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</row>
    <row r="12" spans="2:20" ht="12" customHeight="1" x14ac:dyDescent="0.15">
      <c r="B12" s="61" t="s">
        <v>74</v>
      </c>
      <c r="C12" s="62"/>
      <c r="D12" s="31"/>
      <c r="E12" s="31"/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2:20" ht="24.75" x14ac:dyDescent="0.15">
      <c r="B13" s="32" t="s">
        <v>75</v>
      </c>
      <c r="C13" s="32" t="s">
        <v>27</v>
      </c>
      <c r="D13" s="31">
        <v>5</v>
      </c>
      <c r="E13" s="31">
        <v>4</v>
      </c>
      <c r="F13" s="31">
        <v>1</v>
      </c>
      <c r="G13" s="32">
        <v>2</v>
      </c>
      <c r="H13" s="32">
        <v>2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</row>
    <row r="14" spans="2:20" ht="24.75" x14ac:dyDescent="0.15">
      <c r="B14" s="32" t="s">
        <v>76</v>
      </c>
      <c r="C14" s="32" t="s">
        <v>27</v>
      </c>
      <c r="D14" s="31">
        <v>6</v>
      </c>
      <c r="E14" s="31">
        <v>5</v>
      </c>
      <c r="F14" s="31">
        <v>1</v>
      </c>
      <c r="G14" s="32">
        <v>0</v>
      </c>
      <c r="H14" s="32">
        <v>0</v>
      </c>
      <c r="I14" s="32">
        <v>3</v>
      </c>
      <c r="J14" s="32">
        <v>2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</row>
    <row r="15" spans="2:20" x14ac:dyDescent="0.15">
      <c r="B15" s="51" t="s">
        <v>77</v>
      </c>
      <c r="C15" s="52"/>
      <c r="D15" s="31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spans="2:20" ht="24.75" x14ac:dyDescent="0.15">
      <c r="B16" s="32" t="s">
        <v>78</v>
      </c>
      <c r="C16" s="32" t="s">
        <v>27</v>
      </c>
      <c r="D16" s="31">
        <v>7</v>
      </c>
      <c r="E16" s="31">
        <v>7</v>
      </c>
      <c r="F16" s="31">
        <v>0</v>
      </c>
      <c r="G16" s="32">
        <v>2</v>
      </c>
      <c r="H16" s="32">
        <v>2</v>
      </c>
      <c r="I16" s="32">
        <v>1</v>
      </c>
      <c r="J16" s="32">
        <v>1</v>
      </c>
      <c r="K16" s="32">
        <v>1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</row>
    <row r="17" spans="2:20" x14ac:dyDescent="0.15">
      <c r="B17" s="32" t="s">
        <v>79</v>
      </c>
      <c r="C17" s="32" t="s">
        <v>27</v>
      </c>
      <c r="D17" s="31">
        <v>7</v>
      </c>
      <c r="E17" s="31">
        <v>6</v>
      </c>
      <c r="F17" s="31">
        <v>1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2</v>
      </c>
      <c r="M17" s="32">
        <v>2</v>
      </c>
      <c r="N17" s="32">
        <v>2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</row>
    <row r="18" spans="2:20" x14ac:dyDescent="0.15">
      <c r="B18" s="51" t="s">
        <v>80</v>
      </c>
      <c r="C18" s="52"/>
      <c r="D18" s="31"/>
      <c r="E18" s="31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2:20" ht="24.75" x14ac:dyDescent="0.15">
      <c r="B19" s="32" t="s">
        <v>81</v>
      </c>
      <c r="C19" s="32" t="s">
        <v>37</v>
      </c>
      <c r="D19" s="31">
        <v>7</v>
      </c>
      <c r="E19" s="31">
        <v>5</v>
      </c>
      <c r="F19" s="31">
        <v>2</v>
      </c>
      <c r="G19" s="32">
        <v>0</v>
      </c>
      <c r="H19" s="32">
        <v>0</v>
      </c>
      <c r="I19" s="32">
        <v>1</v>
      </c>
      <c r="J19" s="32">
        <v>1</v>
      </c>
      <c r="K19" s="32">
        <v>2</v>
      </c>
      <c r="L19" s="32">
        <v>1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</row>
    <row r="20" spans="2:20" ht="24.75" x14ac:dyDescent="0.15">
      <c r="B20" s="32" t="s">
        <v>82</v>
      </c>
      <c r="C20" s="32" t="s">
        <v>37</v>
      </c>
      <c r="D20" s="31">
        <v>3</v>
      </c>
      <c r="E20" s="31">
        <v>3</v>
      </c>
      <c r="F20" s="31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</row>
    <row r="21" spans="2:20" ht="24.75" x14ac:dyDescent="0.15">
      <c r="B21" s="32" t="s">
        <v>83</v>
      </c>
      <c r="C21" s="32" t="s">
        <v>37</v>
      </c>
      <c r="D21" s="31">
        <v>5</v>
      </c>
      <c r="E21" s="31">
        <v>4</v>
      </c>
      <c r="F21" s="31">
        <v>1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2</v>
      </c>
      <c r="M21" s="32">
        <v>2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</row>
    <row r="22" spans="2:20" x14ac:dyDescent="0.15">
      <c r="B22" s="51" t="s">
        <v>84</v>
      </c>
      <c r="C22" s="52"/>
      <c r="D22" s="31"/>
      <c r="E22" s="31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2:20" ht="24.75" x14ac:dyDescent="0.15">
      <c r="B23" s="32" t="s">
        <v>85</v>
      </c>
      <c r="C23" s="32" t="s">
        <v>27</v>
      </c>
      <c r="D23" s="31">
        <v>5</v>
      </c>
      <c r="E23" s="31">
        <v>5</v>
      </c>
      <c r="F23" s="31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2</v>
      </c>
      <c r="N23" s="32">
        <v>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</row>
    <row r="24" spans="2:20" ht="24.75" x14ac:dyDescent="0.15">
      <c r="B24" s="32" t="s">
        <v>86</v>
      </c>
      <c r="C24" s="32" t="s">
        <v>32</v>
      </c>
      <c r="D24" s="31">
        <v>7</v>
      </c>
      <c r="E24" s="31">
        <v>6</v>
      </c>
      <c r="F24" s="31">
        <v>1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2</v>
      </c>
      <c r="P24" s="32">
        <v>4</v>
      </c>
      <c r="Q24" s="32">
        <v>0</v>
      </c>
      <c r="R24" s="32">
        <v>0</v>
      </c>
      <c r="S24" s="32">
        <v>0</v>
      </c>
      <c r="T24" s="32">
        <v>0</v>
      </c>
    </row>
    <row r="25" spans="2:20" x14ac:dyDescent="0.15">
      <c r="B25" s="57" t="s">
        <v>87</v>
      </c>
      <c r="C25" s="58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2:20" ht="24.75" x14ac:dyDescent="0.15">
      <c r="B26" s="32" t="s">
        <v>88</v>
      </c>
      <c r="C26" s="32" t="s">
        <v>40</v>
      </c>
      <c r="D26" s="31">
        <v>6</v>
      </c>
      <c r="E26" s="31">
        <v>5</v>
      </c>
      <c r="F26" s="31">
        <v>1</v>
      </c>
      <c r="G26" s="32">
        <v>3</v>
      </c>
      <c r="H26" s="32">
        <v>2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</row>
    <row r="27" spans="2:20" ht="24.75" x14ac:dyDescent="0.15">
      <c r="B27" s="32" t="s">
        <v>89</v>
      </c>
      <c r="C27" s="32" t="s">
        <v>40</v>
      </c>
      <c r="D27" s="31">
        <v>7</v>
      </c>
      <c r="E27" s="31">
        <v>6</v>
      </c>
      <c r="F27" s="31">
        <v>1</v>
      </c>
      <c r="G27" s="32">
        <v>0</v>
      </c>
      <c r="H27" s="32">
        <v>0</v>
      </c>
      <c r="I27" s="32">
        <v>3</v>
      </c>
      <c r="J27" s="32">
        <v>3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</row>
    <row r="28" spans="2:20" ht="24.75" x14ac:dyDescent="0.15">
      <c r="B28" s="32" t="s">
        <v>90</v>
      </c>
      <c r="C28" s="32" t="s">
        <v>40</v>
      </c>
      <c r="D28" s="31">
        <v>6</v>
      </c>
      <c r="E28" s="31">
        <v>5</v>
      </c>
      <c r="F28" s="31">
        <v>1</v>
      </c>
      <c r="G28" s="32">
        <v>0</v>
      </c>
      <c r="H28" s="32">
        <v>0</v>
      </c>
      <c r="I28" s="32">
        <v>0</v>
      </c>
      <c r="J28" s="32">
        <v>0</v>
      </c>
      <c r="K28" s="32">
        <v>3</v>
      </c>
      <c r="L28" s="32">
        <v>2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</row>
    <row r="29" spans="2:20" x14ac:dyDescent="0.15">
      <c r="B29" s="32" t="s">
        <v>91</v>
      </c>
      <c r="C29" s="32" t="s">
        <v>32</v>
      </c>
      <c r="D29" s="31">
        <v>4</v>
      </c>
      <c r="E29" s="31">
        <v>3</v>
      </c>
      <c r="F29" s="31">
        <v>1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2</v>
      </c>
      <c r="N29" s="32">
        <v>1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</row>
    <row r="30" spans="2:20" ht="24.75" x14ac:dyDescent="0.15">
      <c r="B30" s="32" t="s">
        <v>92</v>
      </c>
      <c r="C30" s="32" t="s">
        <v>40</v>
      </c>
      <c r="D30" s="31">
        <v>5</v>
      </c>
      <c r="E30" s="31">
        <v>4</v>
      </c>
      <c r="F30" s="31">
        <v>1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2</v>
      </c>
      <c r="O30" s="32">
        <v>2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</row>
    <row r="31" spans="2:20" x14ac:dyDescent="0.15">
      <c r="B31" s="57" t="s">
        <v>93</v>
      </c>
      <c r="C31" s="58"/>
      <c r="D31" s="31"/>
      <c r="E31" s="31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  <row r="32" spans="2:20" ht="24.75" x14ac:dyDescent="0.15">
      <c r="B32" s="33" t="s">
        <v>94</v>
      </c>
      <c r="C32" s="32" t="s">
        <v>32</v>
      </c>
      <c r="D32" s="31">
        <v>3</v>
      </c>
      <c r="E32" s="31">
        <v>2</v>
      </c>
      <c r="F32" s="31">
        <v>1</v>
      </c>
      <c r="G32" s="32">
        <v>3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</row>
    <row r="33" spans="2:20" ht="24.75" x14ac:dyDescent="0.15">
      <c r="B33" s="33" t="s">
        <v>95</v>
      </c>
      <c r="C33" s="32" t="s">
        <v>37</v>
      </c>
      <c r="D33" s="31">
        <v>6</v>
      </c>
      <c r="E33" s="31">
        <v>5</v>
      </c>
      <c r="F33" s="31">
        <v>1</v>
      </c>
      <c r="G33" s="32">
        <v>0</v>
      </c>
      <c r="H33" s="32">
        <v>2</v>
      </c>
      <c r="I33" s="32">
        <v>2</v>
      </c>
      <c r="J33" s="32">
        <v>1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</row>
    <row r="34" spans="2:20" ht="24.75" x14ac:dyDescent="0.15">
      <c r="B34" s="33" t="s">
        <v>96</v>
      </c>
      <c r="C34" s="32" t="s">
        <v>37</v>
      </c>
      <c r="D34" s="31">
        <v>5</v>
      </c>
      <c r="E34" s="31">
        <v>4</v>
      </c>
      <c r="F34" s="31">
        <v>1</v>
      </c>
      <c r="G34" s="32">
        <v>0</v>
      </c>
      <c r="H34" s="32">
        <v>0</v>
      </c>
      <c r="I34" s="32">
        <v>0</v>
      </c>
      <c r="J34" s="32">
        <v>0</v>
      </c>
      <c r="K34" s="32">
        <v>2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</row>
    <row r="35" spans="2:20" x14ac:dyDescent="0.15">
      <c r="B35" s="33" t="s">
        <v>97</v>
      </c>
      <c r="C35" s="32" t="s">
        <v>37</v>
      </c>
      <c r="D35" s="31">
        <v>4</v>
      </c>
      <c r="E35" s="31">
        <v>4</v>
      </c>
      <c r="F35" s="31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2</v>
      </c>
      <c r="N35" s="32">
        <v>2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</row>
    <row r="36" spans="2:20" x14ac:dyDescent="0.15">
      <c r="B36" s="57" t="s">
        <v>98</v>
      </c>
      <c r="C36" s="58"/>
      <c r="D36" s="31"/>
      <c r="E36" s="31"/>
      <c r="F36" s="31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spans="2:20" ht="24.75" x14ac:dyDescent="0.15">
      <c r="B37" s="33" t="s">
        <v>99</v>
      </c>
      <c r="C37" s="32" t="s">
        <v>37</v>
      </c>
      <c r="D37" s="31">
        <v>6</v>
      </c>
      <c r="E37" s="31">
        <v>6</v>
      </c>
      <c r="F37" s="31">
        <v>0</v>
      </c>
      <c r="G37" s="32">
        <v>2</v>
      </c>
      <c r="H37" s="32">
        <v>2</v>
      </c>
      <c r="I37" s="32">
        <v>2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</row>
    <row r="38" spans="2:20" ht="24.75" x14ac:dyDescent="0.15">
      <c r="B38" s="33" t="s">
        <v>100</v>
      </c>
      <c r="C38" s="32" t="s">
        <v>37</v>
      </c>
      <c r="D38" s="31">
        <v>4</v>
      </c>
      <c r="E38" s="31">
        <v>3</v>
      </c>
      <c r="F38" s="31">
        <v>1</v>
      </c>
      <c r="G38" s="32">
        <v>0</v>
      </c>
      <c r="H38" s="32">
        <v>0</v>
      </c>
      <c r="I38" s="32">
        <v>0</v>
      </c>
      <c r="J38" s="32">
        <v>3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</row>
    <row r="39" spans="2:20" x14ac:dyDescent="0.15">
      <c r="B39" s="33" t="s">
        <v>101</v>
      </c>
      <c r="C39" s="32" t="s">
        <v>37</v>
      </c>
      <c r="D39" s="31">
        <v>5</v>
      </c>
      <c r="E39" s="31">
        <v>3</v>
      </c>
      <c r="F39" s="31">
        <v>2</v>
      </c>
      <c r="G39" s="32">
        <v>0</v>
      </c>
      <c r="H39" s="32">
        <v>0</v>
      </c>
      <c r="I39" s="32">
        <v>0</v>
      </c>
      <c r="J39" s="32">
        <v>0</v>
      </c>
      <c r="K39" s="32">
        <v>3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</row>
    <row r="40" spans="2:20" ht="24.75" x14ac:dyDescent="0.15">
      <c r="B40" s="33" t="s">
        <v>102</v>
      </c>
      <c r="C40" s="32" t="s">
        <v>37</v>
      </c>
      <c r="D40" s="31">
        <v>5</v>
      </c>
      <c r="E40" s="31">
        <v>3</v>
      </c>
      <c r="F40" s="31">
        <v>2</v>
      </c>
      <c r="G40" s="32">
        <v>0</v>
      </c>
      <c r="H40" s="32">
        <v>0</v>
      </c>
      <c r="I40" s="32">
        <v>0</v>
      </c>
      <c r="J40" s="32">
        <v>0</v>
      </c>
      <c r="K40" s="32">
        <v>3</v>
      </c>
      <c r="L40" s="32">
        <v>1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</row>
    <row r="41" spans="2:20" x14ac:dyDescent="0.15">
      <c r="B41" s="57" t="s">
        <v>103</v>
      </c>
      <c r="C41" s="58"/>
      <c r="D41" s="31"/>
      <c r="E41" s="31"/>
      <c r="F41" s="3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spans="2:20" ht="24.75" x14ac:dyDescent="0.15">
      <c r="B42" s="32" t="s">
        <v>104</v>
      </c>
      <c r="C42" s="32" t="s">
        <v>40</v>
      </c>
      <c r="D42" s="31">
        <v>5</v>
      </c>
      <c r="E42" s="31">
        <v>4</v>
      </c>
      <c r="F42" s="31">
        <v>1</v>
      </c>
      <c r="G42" s="32">
        <v>2</v>
      </c>
      <c r="H42" s="32">
        <v>2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</row>
    <row r="43" spans="2:20" ht="24.75" x14ac:dyDescent="0.15">
      <c r="B43" s="32" t="s">
        <v>105</v>
      </c>
      <c r="C43" s="32" t="s">
        <v>27</v>
      </c>
      <c r="D43" s="31">
        <v>7</v>
      </c>
      <c r="E43" s="31">
        <v>6</v>
      </c>
      <c r="F43" s="31">
        <v>1</v>
      </c>
      <c r="G43" s="32">
        <v>0</v>
      </c>
      <c r="H43" s="32">
        <v>0</v>
      </c>
      <c r="I43" s="32">
        <v>2</v>
      </c>
      <c r="J43" s="32">
        <v>2</v>
      </c>
      <c r="K43" s="32">
        <v>2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</row>
    <row r="44" spans="2:20" ht="24.75" x14ac:dyDescent="0.15">
      <c r="B44" s="32" t="s">
        <v>106</v>
      </c>
      <c r="C44" s="32" t="s">
        <v>40</v>
      </c>
      <c r="D44" s="31">
        <v>4</v>
      </c>
      <c r="E44" s="31">
        <v>3</v>
      </c>
      <c r="F44" s="31">
        <v>1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2</v>
      </c>
      <c r="M44" s="32">
        <v>1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</row>
    <row r="45" spans="2:20" ht="24.75" x14ac:dyDescent="0.15">
      <c r="B45" s="32" t="s">
        <v>107</v>
      </c>
      <c r="C45" s="32" t="s">
        <v>27</v>
      </c>
      <c r="D45" s="31">
        <v>6</v>
      </c>
      <c r="E45" s="31">
        <v>5</v>
      </c>
      <c r="F45" s="31">
        <v>1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2</v>
      </c>
      <c r="N45" s="32">
        <v>2</v>
      </c>
      <c r="O45" s="32">
        <v>1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</row>
    <row r="46" spans="2:20" ht="24.75" x14ac:dyDescent="0.15">
      <c r="B46" s="32" t="s">
        <v>108</v>
      </c>
      <c r="C46" s="32" t="s">
        <v>40</v>
      </c>
      <c r="D46" s="31">
        <v>4</v>
      </c>
      <c r="E46" s="31">
        <v>3</v>
      </c>
      <c r="F46" s="31">
        <v>1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1</v>
      </c>
      <c r="P46" s="32">
        <v>2</v>
      </c>
      <c r="Q46" s="32">
        <v>0</v>
      </c>
      <c r="R46" s="32">
        <v>0</v>
      </c>
      <c r="S46" s="32">
        <v>0</v>
      </c>
      <c r="T46" s="32">
        <v>0</v>
      </c>
    </row>
    <row r="47" spans="2:20" x14ac:dyDescent="0.15">
      <c r="B47" s="57" t="s">
        <v>109</v>
      </c>
      <c r="C47" s="58"/>
      <c r="D47" s="31"/>
      <c r="E47" s="31"/>
      <c r="F47" s="31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spans="2:20" ht="24.75" x14ac:dyDescent="0.15">
      <c r="B48" s="33" t="s">
        <v>110</v>
      </c>
      <c r="C48" s="32" t="s">
        <v>37</v>
      </c>
      <c r="D48" s="31">
        <v>6</v>
      </c>
      <c r="E48" s="31">
        <v>4</v>
      </c>
      <c r="F48" s="31">
        <v>2</v>
      </c>
      <c r="G48" s="32">
        <v>2</v>
      </c>
      <c r="H48" s="32">
        <v>2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</row>
    <row r="49" spans="2:20" ht="24.75" x14ac:dyDescent="0.15">
      <c r="B49" s="33" t="s">
        <v>111</v>
      </c>
      <c r="C49" s="32" t="s">
        <v>37</v>
      </c>
      <c r="D49" s="31">
        <v>5</v>
      </c>
      <c r="E49" s="31">
        <v>3</v>
      </c>
      <c r="F49" s="31">
        <v>2</v>
      </c>
      <c r="G49" s="32">
        <v>0</v>
      </c>
      <c r="H49" s="32">
        <v>0</v>
      </c>
      <c r="I49" s="32">
        <v>2</v>
      </c>
      <c r="J49" s="32">
        <v>1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</row>
    <row r="50" spans="2:20" x14ac:dyDescent="0.15">
      <c r="B50" s="51" t="s">
        <v>112</v>
      </c>
      <c r="C50" s="52"/>
      <c r="D50" s="31"/>
      <c r="E50" s="31"/>
      <c r="F50" s="31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spans="2:20" ht="24.75" x14ac:dyDescent="0.15">
      <c r="B51" s="32" t="s">
        <v>113</v>
      </c>
      <c r="C51" s="32" t="s">
        <v>32</v>
      </c>
      <c r="D51" s="31">
        <v>6</v>
      </c>
      <c r="E51" s="31">
        <v>6</v>
      </c>
      <c r="F51" s="31">
        <v>0</v>
      </c>
      <c r="G51" s="32">
        <v>0</v>
      </c>
      <c r="H51" s="32">
        <v>0</v>
      </c>
      <c r="I51" s="32">
        <v>0</v>
      </c>
      <c r="J51" s="32">
        <v>0</v>
      </c>
      <c r="K51" s="32">
        <v>1</v>
      </c>
      <c r="L51" s="32">
        <v>2</v>
      </c>
      <c r="M51" s="32">
        <v>3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</row>
    <row r="52" spans="2:20" ht="24.75" x14ac:dyDescent="0.15">
      <c r="B52" s="32" t="s">
        <v>114</v>
      </c>
      <c r="C52" s="32" t="s">
        <v>32</v>
      </c>
      <c r="D52" s="31">
        <v>8</v>
      </c>
      <c r="E52" s="31">
        <v>7</v>
      </c>
      <c r="F52" s="31">
        <v>1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3</v>
      </c>
      <c r="N52" s="32">
        <v>2</v>
      </c>
      <c r="O52" s="32">
        <v>2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</row>
    <row r="53" spans="2:20" x14ac:dyDescent="0.15">
      <c r="B53" s="51" t="s">
        <v>115</v>
      </c>
      <c r="C53" s="52"/>
      <c r="D53" s="31"/>
      <c r="E53" s="31"/>
      <c r="F53" s="31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</row>
    <row r="54" spans="2:20" ht="24.75" x14ac:dyDescent="0.15">
      <c r="B54" s="32" t="s">
        <v>116</v>
      </c>
      <c r="C54" s="32" t="s">
        <v>41</v>
      </c>
      <c r="D54" s="31">
        <v>6</v>
      </c>
      <c r="E54" s="31">
        <v>6</v>
      </c>
      <c r="F54" s="31">
        <v>0</v>
      </c>
      <c r="G54" s="32">
        <v>0</v>
      </c>
      <c r="H54" s="32">
        <v>1</v>
      </c>
      <c r="I54" s="32">
        <v>1</v>
      </c>
      <c r="J54" s="32">
        <v>2</v>
      </c>
      <c r="K54" s="32">
        <v>2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</row>
    <row r="55" spans="2:20" x14ac:dyDescent="0.15">
      <c r="B55" s="32" t="s">
        <v>144</v>
      </c>
      <c r="C55" s="32" t="s">
        <v>41</v>
      </c>
      <c r="D55" s="31">
        <v>5</v>
      </c>
      <c r="E55" s="31">
        <v>4</v>
      </c>
      <c r="F55" s="31">
        <v>1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2</v>
      </c>
      <c r="P55" s="32">
        <v>2</v>
      </c>
      <c r="Q55" s="32">
        <v>0</v>
      </c>
      <c r="R55" s="32">
        <v>0</v>
      </c>
      <c r="S55" s="32">
        <v>0</v>
      </c>
      <c r="T55" s="32">
        <v>0</v>
      </c>
    </row>
    <row r="56" spans="2:20" x14ac:dyDescent="0.15">
      <c r="B56" s="32" t="s">
        <v>145</v>
      </c>
      <c r="C56" s="32" t="s">
        <v>41</v>
      </c>
      <c r="D56" s="31">
        <v>1</v>
      </c>
      <c r="E56" s="31">
        <v>1</v>
      </c>
      <c r="F56" s="31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1</v>
      </c>
      <c r="Q56" s="32">
        <v>0</v>
      </c>
      <c r="R56" s="32">
        <v>0</v>
      </c>
      <c r="S56" s="32">
        <v>0</v>
      </c>
      <c r="T56" s="32">
        <v>0</v>
      </c>
    </row>
    <row r="57" spans="2:20" x14ac:dyDescent="0.15">
      <c r="B57" s="51" t="s">
        <v>117</v>
      </c>
      <c r="C57" s="52"/>
      <c r="D57" s="31"/>
      <c r="E57" s="31"/>
      <c r="F57" s="3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</row>
    <row r="58" spans="2:20" ht="24.75" x14ac:dyDescent="0.15">
      <c r="B58" s="32" t="s">
        <v>118</v>
      </c>
      <c r="C58" s="32" t="s">
        <v>32</v>
      </c>
      <c r="D58" s="31">
        <v>5</v>
      </c>
      <c r="E58" s="31">
        <v>5</v>
      </c>
      <c r="F58" s="31">
        <v>0</v>
      </c>
      <c r="G58" s="32">
        <v>1</v>
      </c>
      <c r="H58" s="32">
        <v>1</v>
      </c>
      <c r="I58" s="32">
        <v>1</v>
      </c>
      <c r="J58" s="32">
        <v>1</v>
      </c>
      <c r="K58" s="32">
        <v>1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</row>
    <row r="59" spans="2:20" ht="24.75" x14ac:dyDescent="0.15">
      <c r="B59" s="32" t="s">
        <v>119</v>
      </c>
      <c r="C59" s="32" t="s">
        <v>32</v>
      </c>
      <c r="D59" s="31">
        <v>3</v>
      </c>
      <c r="E59" s="31">
        <v>3</v>
      </c>
      <c r="F59" s="31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1</v>
      </c>
      <c r="M59" s="32">
        <v>1</v>
      </c>
      <c r="N59" s="32">
        <v>1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</row>
    <row r="60" spans="2:20" ht="24.75" x14ac:dyDescent="0.15">
      <c r="B60" s="32" t="s">
        <v>120</v>
      </c>
      <c r="C60" s="32" t="s">
        <v>32</v>
      </c>
      <c r="D60" s="31">
        <v>2</v>
      </c>
      <c r="E60" s="31">
        <v>1</v>
      </c>
      <c r="F60" s="31">
        <v>1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1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</row>
    <row r="61" spans="2:20" ht="17.25" x14ac:dyDescent="0.2">
      <c r="B61" s="53" t="s">
        <v>29</v>
      </c>
      <c r="C61" s="54"/>
      <c r="D61" s="34">
        <v>205</v>
      </c>
      <c r="E61" s="34">
        <v>55</v>
      </c>
      <c r="F61" s="34">
        <v>8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2:20" x14ac:dyDescent="0.1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x14ac:dyDescent="0.1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x14ac:dyDescent="0.1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x14ac:dyDescent="0.1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x14ac:dyDescent="0.1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x14ac:dyDescent="0.1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x14ac:dyDescent="0.1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x14ac:dyDescent="0.1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x14ac:dyDescent="0.1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x14ac:dyDescent="0.1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x14ac:dyDescent="0.1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x14ac:dyDescent="0.1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x14ac:dyDescent="0.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x14ac:dyDescent="0.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x14ac:dyDescent="0.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x14ac:dyDescent="0.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x14ac:dyDescent="0.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x14ac:dyDescent="0.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x14ac:dyDescent="0.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x14ac:dyDescent="0.1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x14ac:dyDescent="0.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x14ac:dyDescent="0.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x14ac:dyDescent="0.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x14ac:dyDescent="0.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x14ac:dyDescent="0.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x14ac:dyDescent="0.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x14ac:dyDescent="0.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x14ac:dyDescent="0.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x14ac:dyDescent="0.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x14ac:dyDescent="0.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x14ac:dyDescent="0.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x14ac:dyDescent="0.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x14ac:dyDescent="0.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x14ac:dyDescent="0.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x14ac:dyDescent="0.1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x14ac:dyDescent="0.1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x14ac:dyDescent="0.1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x14ac:dyDescent="0.1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x14ac:dyDescent="0.1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x14ac:dyDescent="0.1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x14ac:dyDescent="0.1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x14ac:dyDescent="0.1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x14ac:dyDescent="0.1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</sheetData>
  <mergeCells count="25">
    <mergeCell ref="B1:T1"/>
    <mergeCell ref="D2:E2"/>
    <mergeCell ref="F2:G2"/>
    <mergeCell ref="H2:J2"/>
    <mergeCell ref="D3:E3"/>
    <mergeCell ref="F3:G3"/>
    <mergeCell ref="H3:J3"/>
    <mergeCell ref="H5:J5"/>
    <mergeCell ref="D7:F7"/>
    <mergeCell ref="B9:C9"/>
    <mergeCell ref="B12:C12"/>
    <mergeCell ref="B15:C15"/>
    <mergeCell ref="B53:C53"/>
    <mergeCell ref="B57:C57"/>
    <mergeCell ref="B61:C61"/>
    <mergeCell ref="D5:E5"/>
    <mergeCell ref="F5:G5"/>
    <mergeCell ref="B18:C18"/>
    <mergeCell ref="B22:C22"/>
    <mergeCell ref="B25:C25"/>
    <mergeCell ref="B31:C31"/>
    <mergeCell ref="B36:C36"/>
    <mergeCell ref="B41:C41"/>
    <mergeCell ref="B47:C47"/>
    <mergeCell ref="B50:C50"/>
  </mergeCells>
  <pageMargins left="0.3" right="0.3" top="0.3" bottom="0.3" header="0" footer="0"/>
  <pageSetup paperSize="3" scale="70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D576-FC29-4F04-B574-444E17DEF157}">
  <sheetPr>
    <tabColor theme="3" tint="0.59999389629810485"/>
    <pageSetUpPr fitToPage="1"/>
  </sheetPr>
  <dimension ref="A1:T106"/>
  <sheetViews>
    <sheetView showGridLines="0" workbookViewId="0">
      <pane ySplit="1" topLeftCell="A3" activePane="bottomLeft" state="frozen"/>
      <selection activeCell="B1" sqref="B1"/>
      <selection pane="bottomLeft" activeCell="A22" sqref="A22"/>
    </sheetView>
  </sheetViews>
  <sheetFormatPr defaultColWidth="10.67578125" defaultRowHeight="12.75" x14ac:dyDescent="0.15"/>
  <cols>
    <col min="1" max="2" width="42.92578125" style="1" customWidth="1"/>
    <col min="3" max="3" width="35.734375" style="1" customWidth="1"/>
    <col min="4" max="4" width="18.765625" style="1" customWidth="1"/>
    <col min="5" max="5" width="28.31640625" style="1" customWidth="1"/>
    <col min="6" max="6" width="19.77734375" style="1" customWidth="1"/>
    <col min="7" max="20" width="10.67578125" style="1" customWidth="1"/>
    <col min="21" max="21" width="3.14453125" style="1" customWidth="1"/>
    <col min="22" max="16384" width="10.67578125" style="1"/>
  </cols>
  <sheetData>
    <row r="1" spans="1:20" s="7" customFormat="1" ht="45" customHeight="1" x14ac:dyDescent="0.3">
      <c r="B1" s="42" t="s">
        <v>31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26.25" customHeight="1" x14ac:dyDescent="0.3">
      <c r="A2" s="36">
        <v>45963</v>
      </c>
      <c r="B2" s="36">
        <v>45981</v>
      </c>
      <c r="C2" s="55">
        <v>29</v>
      </c>
      <c r="D2" s="56"/>
      <c r="E2" s="55">
        <v>27</v>
      </c>
      <c r="F2" s="56"/>
      <c r="G2" s="55">
        <v>2</v>
      </c>
      <c r="H2" s="59"/>
      <c r="I2" s="56"/>
      <c r="J2" s="37"/>
      <c r="K2" s="37"/>
      <c r="L2" s="37"/>
      <c r="M2" s="37"/>
      <c r="N2" s="37"/>
      <c r="O2" s="37"/>
      <c r="P2" s="37"/>
      <c r="Q2" s="37"/>
      <c r="R2" s="37"/>
      <c r="S2" s="37"/>
      <c r="T2" s="4"/>
    </row>
    <row r="3" spans="1:20" ht="49.9" customHeight="1" x14ac:dyDescent="0.3">
      <c r="A3" s="38" t="s">
        <v>6</v>
      </c>
      <c r="B3" s="40" t="s">
        <v>133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</row>
    <row r="4" spans="1:20" ht="12" customHeight="1" x14ac:dyDescent="0.3">
      <c r="A4" s="39" t="s">
        <v>7</v>
      </c>
      <c r="B4" s="37"/>
      <c r="C4" s="60"/>
      <c r="D4" s="60"/>
      <c r="E4" s="60"/>
      <c r="F4" s="27">
        <v>45963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4"/>
    </row>
    <row r="5" spans="1:20" ht="45" customHeight="1" x14ac:dyDescent="0.15">
      <c r="A5" s="28" t="s">
        <v>8</v>
      </c>
      <c r="B5" s="28" t="s">
        <v>9</v>
      </c>
      <c r="C5" s="29" t="s">
        <v>10</v>
      </c>
      <c r="D5" s="29" t="s">
        <v>4</v>
      </c>
      <c r="E5" s="29" t="s">
        <v>11</v>
      </c>
      <c r="F5" s="30" t="s">
        <v>12</v>
      </c>
      <c r="G5" s="30" t="s">
        <v>13</v>
      </c>
      <c r="H5" s="30" t="s">
        <v>14</v>
      </c>
      <c r="I5" s="30" t="s">
        <v>15</v>
      </c>
      <c r="J5" s="30" t="s">
        <v>16</v>
      </c>
      <c r="K5" s="30" t="s">
        <v>17</v>
      </c>
      <c r="L5" s="30" t="s">
        <v>18</v>
      </c>
      <c r="M5" s="30" t="s">
        <v>19</v>
      </c>
      <c r="N5" s="30" t="s">
        <v>20</v>
      </c>
      <c r="O5" s="30" t="s">
        <v>21</v>
      </c>
      <c r="P5" s="30" t="s">
        <v>22</v>
      </c>
      <c r="Q5" s="30" t="s">
        <v>23</v>
      </c>
      <c r="R5" s="30" t="s">
        <v>24</v>
      </c>
      <c r="S5" s="30" t="s">
        <v>25</v>
      </c>
      <c r="T5" s="16"/>
    </row>
    <row r="6" spans="1:20" ht="34.9" customHeight="1" x14ac:dyDescent="0.15">
      <c r="A6" s="51" t="s">
        <v>134</v>
      </c>
      <c r="B6" s="52"/>
      <c r="C6" s="31">
        <v>0</v>
      </c>
      <c r="D6" s="31">
        <v>0</v>
      </c>
      <c r="E6" s="31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13"/>
    </row>
    <row r="7" spans="1:20" ht="25.15" customHeight="1" x14ac:dyDescent="0.15">
      <c r="A7" s="32" t="s">
        <v>138</v>
      </c>
      <c r="B7" s="32" t="s">
        <v>121</v>
      </c>
      <c r="C7" s="31">
        <v>5</v>
      </c>
      <c r="D7" s="31">
        <v>5</v>
      </c>
      <c r="E7" s="31">
        <v>0</v>
      </c>
      <c r="F7" s="32">
        <v>3</v>
      </c>
      <c r="G7" s="32">
        <v>2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"/>
    </row>
    <row r="8" spans="1:20" ht="25.15" customHeight="1" x14ac:dyDescent="0.15">
      <c r="A8" s="32" t="s">
        <v>139</v>
      </c>
      <c r="B8" s="32" t="s">
        <v>121</v>
      </c>
      <c r="C8" s="31">
        <v>6</v>
      </c>
      <c r="D8" s="31">
        <v>4</v>
      </c>
      <c r="E8" s="31">
        <v>2</v>
      </c>
      <c r="F8" s="32">
        <v>0</v>
      </c>
      <c r="G8" s="32">
        <v>0</v>
      </c>
      <c r="H8" s="32">
        <v>2</v>
      </c>
      <c r="I8" s="32">
        <v>2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"/>
    </row>
    <row r="9" spans="1:20" ht="25.15" customHeight="1" x14ac:dyDescent="0.15">
      <c r="A9" s="33" t="s">
        <v>140</v>
      </c>
      <c r="B9" s="41" t="s">
        <v>122</v>
      </c>
      <c r="C9" s="31">
        <v>5</v>
      </c>
      <c r="D9" s="31">
        <v>5</v>
      </c>
      <c r="E9" s="31">
        <v>0</v>
      </c>
      <c r="F9" s="32"/>
      <c r="G9" s="32"/>
      <c r="H9" s="32"/>
      <c r="I9" s="32"/>
      <c r="J9" s="32">
        <v>2</v>
      </c>
      <c r="K9" s="32">
        <v>3</v>
      </c>
      <c r="L9" s="32"/>
      <c r="M9" s="32"/>
      <c r="N9" s="32"/>
      <c r="O9" s="32"/>
      <c r="P9" s="32"/>
      <c r="Q9" s="32"/>
      <c r="R9" s="32"/>
      <c r="S9" s="32"/>
      <c r="T9" s="3"/>
    </row>
    <row r="10" spans="1:20" ht="34.9" customHeight="1" x14ac:dyDescent="0.15">
      <c r="A10" s="51" t="s">
        <v>135</v>
      </c>
      <c r="B10" s="52"/>
      <c r="C10" s="31">
        <v>0</v>
      </c>
      <c r="D10" s="31">
        <v>0</v>
      </c>
      <c r="E10" s="31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13"/>
    </row>
    <row r="11" spans="1:20" ht="25.15" customHeight="1" x14ac:dyDescent="0.15">
      <c r="A11" s="33" t="s">
        <v>136</v>
      </c>
      <c r="B11" s="41" t="s">
        <v>121</v>
      </c>
      <c r="C11" s="31">
        <v>4</v>
      </c>
      <c r="D11" s="31">
        <v>4</v>
      </c>
      <c r="E11" s="31">
        <v>0</v>
      </c>
      <c r="F11" s="32"/>
      <c r="G11" s="32"/>
      <c r="H11" s="32"/>
      <c r="I11" s="32"/>
      <c r="J11" s="32"/>
      <c r="K11" s="32"/>
      <c r="L11" s="32">
        <v>2</v>
      </c>
      <c r="M11" s="32">
        <v>2</v>
      </c>
      <c r="N11" s="32"/>
      <c r="O11" s="32"/>
      <c r="P11" s="32"/>
      <c r="Q11" s="32"/>
      <c r="R11" s="32"/>
      <c r="S11" s="32"/>
      <c r="T11" s="3"/>
    </row>
    <row r="12" spans="1:20" ht="34.9" customHeight="1" x14ac:dyDescent="0.15">
      <c r="A12" s="33" t="s">
        <v>137</v>
      </c>
      <c r="B12" s="41" t="s">
        <v>121</v>
      </c>
      <c r="C12" s="31">
        <v>1</v>
      </c>
      <c r="D12" s="31">
        <v>1</v>
      </c>
      <c r="E12" s="31">
        <v>0</v>
      </c>
      <c r="F12" s="32"/>
      <c r="G12" s="32"/>
      <c r="H12" s="32"/>
      <c r="I12" s="32"/>
      <c r="J12" s="32"/>
      <c r="K12" s="32"/>
      <c r="L12" s="32"/>
      <c r="M12" s="32"/>
      <c r="N12" s="32">
        <v>1</v>
      </c>
      <c r="O12" s="32"/>
      <c r="P12" s="32"/>
      <c r="Q12" s="32"/>
      <c r="R12" s="32"/>
      <c r="S12" s="32"/>
      <c r="T12" s="11"/>
    </row>
    <row r="13" spans="1:20" ht="12" customHeight="1" x14ac:dyDescent="0.15">
      <c r="A13" s="33" t="s">
        <v>141</v>
      </c>
      <c r="B13" s="41" t="s">
        <v>122</v>
      </c>
      <c r="C13" s="31">
        <v>4</v>
      </c>
      <c r="D13" s="31">
        <v>4</v>
      </c>
      <c r="E13" s="31">
        <v>0</v>
      </c>
      <c r="F13" s="32"/>
      <c r="G13" s="32"/>
      <c r="H13" s="32"/>
      <c r="I13" s="32"/>
      <c r="J13" s="32"/>
      <c r="K13" s="32"/>
      <c r="L13" s="32"/>
      <c r="M13" s="32"/>
      <c r="N13" s="32"/>
      <c r="O13" s="32">
        <v>2</v>
      </c>
      <c r="P13" s="32">
        <v>2</v>
      </c>
      <c r="Q13" s="32"/>
      <c r="R13" s="32"/>
      <c r="S13" s="32"/>
      <c r="T13" s="2"/>
    </row>
    <row r="14" spans="1:20" x14ac:dyDescent="0.15">
      <c r="A14" s="51" t="s">
        <v>123</v>
      </c>
      <c r="B14" s="52"/>
      <c r="C14" s="31">
        <v>0</v>
      </c>
      <c r="D14" s="31">
        <v>0</v>
      </c>
      <c r="E14" s="31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2"/>
    </row>
    <row r="15" spans="1:20" x14ac:dyDescent="0.15">
      <c r="A15" s="32" t="s">
        <v>124</v>
      </c>
      <c r="B15" s="32" t="s">
        <v>125</v>
      </c>
      <c r="C15" s="31">
        <v>2</v>
      </c>
      <c r="D15" s="31">
        <v>2</v>
      </c>
      <c r="E15" s="31">
        <v>0</v>
      </c>
      <c r="F15" s="32">
        <v>2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2"/>
    </row>
    <row r="16" spans="1:20" x14ac:dyDescent="0.15">
      <c r="A16" s="32" t="s">
        <v>126</v>
      </c>
      <c r="B16" s="32" t="s">
        <v>127</v>
      </c>
      <c r="C16" s="31">
        <v>1</v>
      </c>
      <c r="D16" s="31">
        <v>1</v>
      </c>
      <c r="E16" s="31">
        <v>0</v>
      </c>
      <c r="F16" s="32">
        <v>0</v>
      </c>
      <c r="G16" s="32">
        <v>1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2"/>
    </row>
    <row r="17" spans="1:20" ht="24.75" x14ac:dyDescent="0.15">
      <c r="A17" s="32" t="s">
        <v>128</v>
      </c>
      <c r="B17" s="32" t="s">
        <v>127</v>
      </c>
      <c r="C17" s="31">
        <v>1</v>
      </c>
      <c r="D17" s="31">
        <v>1</v>
      </c>
      <c r="E17" s="31">
        <v>0</v>
      </c>
      <c r="F17" s="32">
        <v>0</v>
      </c>
      <c r="G17" s="32">
        <v>0</v>
      </c>
      <c r="H17" s="32">
        <v>1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2"/>
    </row>
    <row r="18" spans="1:20" x14ac:dyDescent="0.15">
      <c r="A18" s="51" t="s">
        <v>129</v>
      </c>
      <c r="B18" s="52"/>
      <c r="C18" s="31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2"/>
    </row>
    <row r="19" spans="1:20" x14ac:dyDescent="0.15">
      <c r="A19" s="33" t="s">
        <v>130</v>
      </c>
      <c r="B19" s="41" t="s">
        <v>127</v>
      </c>
      <c r="C19" s="31">
        <v>5</v>
      </c>
      <c r="D19" s="31">
        <v>5</v>
      </c>
      <c r="E19" s="31">
        <v>0</v>
      </c>
      <c r="F19" s="32">
        <v>2</v>
      </c>
      <c r="G19" s="32">
        <v>3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2"/>
    </row>
    <row r="20" spans="1:20" ht="24.75" x14ac:dyDescent="0.15">
      <c r="A20" s="33" t="s">
        <v>131</v>
      </c>
      <c r="B20" s="41" t="s">
        <v>132</v>
      </c>
      <c r="C20" s="31">
        <v>4</v>
      </c>
      <c r="D20" s="31">
        <v>3</v>
      </c>
      <c r="E20" s="31">
        <v>1</v>
      </c>
      <c r="F20" s="32"/>
      <c r="G20" s="32"/>
      <c r="H20" s="32">
        <v>2</v>
      </c>
      <c r="I20" s="32">
        <v>1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2"/>
    </row>
    <row r="21" spans="1:20" ht="24.75" x14ac:dyDescent="0.15">
      <c r="A21" s="33" t="s">
        <v>142</v>
      </c>
      <c r="B21" s="41" t="s">
        <v>127</v>
      </c>
      <c r="C21" s="31">
        <v>4</v>
      </c>
      <c r="D21" s="31">
        <v>2</v>
      </c>
      <c r="E21" s="31">
        <v>2</v>
      </c>
      <c r="F21" s="32"/>
      <c r="G21" s="32"/>
      <c r="H21" s="32"/>
      <c r="I21" s="32"/>
      <c r="J21" s="32"/>
      <c r="K21" s="32"/>
      <c r="L21" s="32">
        <v>2</v>
      </c>
      <c r="M21" s="32"/>
      <c r="N21" s="32"/>
      <c r="O21" s="32"/>
      <c r="P21" s="32"/>
      <c r="Q21" s="32"/>
      <c r="R21" s="32"/>
      <c r="S21" s="32"/>
      <c r="T21" s="2"/>
    </row>
    <row r="22" spans="1:20" ht="24.75" x14ac:dyDescent="0.15">
      <c r="A22" s="33" t="s">
        <v>143</v>
      </c>
      <c r="B22" s="41" t="s">
        <v>125</v>
      </c>
      <c r="C22" s="31">
        <v>4</v>
      </c>
      <c r="D22" s="31">
        <v>4</v>
      </c>
      <c r="E22" s="31">
        <v>0</v>
      </c>
      <c r="F22" s="32"/>
      <c r="G22" s="32"/>
      <c r="H22" s="32"/>
      <c r="I22" s="32"/>
      <c r="J22" s="32"/>
      <c r="K22" s="32"/>
      <c r="L22" s="32"/>
      <c r="M22" s="32">
        <v>2</v>
      </c>
      <c r="N22" s="32">
        <v>2</v>
      </c>
      <c r="O22" s="32"/>
      <c r="P22" s="32"/>
      <c r="Q22" s="32"/>
      <c r="R22" s="32"/>
      <c r="S22" s="32"/>
      <c r="T22" s="2"/>
    </row>
    <row r="23" spans="1:20" ht="17.25" x14ac:dyDescent="0.2">
      <c r="A23" s="53" t="s">
        <v>29</v>
      </c>
      <c r="B23" s="54"/>
      <c r="C23" s="34">
        <v>29</v>
      </c>
      <c r="D23" s="34">
        <v>27</v>
      </c>
      <c r="E23" s="34">
        <v>2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"/>
    </row>
    <row r="24" spans="1:20" x14ac:dyDescent="0.1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1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1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1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1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1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1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1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x14ac:dyDescent="0.1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x14ac:dyDescent="0.1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x14ac:dyDescent="0.1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x14ac:dyDescent="0.1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x14ac:dyDescent="0.1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x14ac:dyDescent="0.1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x14ac:dyDescent="0.1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x14ac:dyDescent="0.1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x14ac:dyDescent="0.1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x14ac:dyDescent="0.1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x14ac:dyDescent="0.1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x14ac:dyDescent="0.1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x14ac:dyDescent="0.1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x14ac:dyDescent="0.1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x14ac:dyDescent="0.1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x14ac:dyDescent="0.1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x14ac:dyDescent="0.1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x14ac:dyDescent="0.1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x14ac:dyDescent="0.1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x14ac:dyDescent="0.1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x14ac:dyDescent="0.1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x14ac:dyDescent="0.1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x14ac:dyDescent="0.1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x14ac:dyDescent="0.1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x14ac:dyDescent="0.1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x14ac:dyDescent="0.1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x14ac:dyDescent="0.1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x14ac:dyDescent="0.1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x14ac:dyDescent="0.1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x14ac:dyDescent="0.1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x14ac:dyDescent="0.1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x14ac:dyDescent="0.1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x14ac:dyDescent="0.1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x14ac:dyDescent="0.1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x14ac:dyDescent="0.1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x14ac:dyDescent="0.1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x14ac:dyDescent="0.1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x14ac:dyDescent="0.1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x14ac:dyDescent="0.1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x14ac:dyDescent="0.1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x14ac:dyDescent="0.1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x14ac:dyDescent="0.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x14ac:dyDescent="0.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x14ac:dyDescent="0.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x14ac:dyDescent="0.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x14ac:dyDescent="0.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x14ac:dyDescent="0.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x14ac:dyDescent="0.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x14ac:dyDescent="0.1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x14ac:dyDescent="0.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x14ac:dyDescent="0.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x14ac:dyDescent="0.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x14ac:dyDescent="0.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x14ac:dyDescent="0.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x14ac:dyDescent="0.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x14ac:dyDescent="0.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x14ac:dyDescent="0.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x14ac:dyDescent="0.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x14ac:dyDescent="0.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x14ac:dyDescent="0.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x14ac:dyDescent="0.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x14ac:dyDescent="0.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x14ac:dyDescent="0.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x14ac:dyDescent="0.1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x14ac:dyDescent="0.1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x14ac:dyDescent="0.1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x14ac:dyDescent="0.1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x14ac:dyDescent="0.1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x14ac:dyDescent="0.1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x14ac:dyDescent="0.1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x14ac:dyDescent="0.1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x14ac:dyDescent="0.1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x14ac:dyDescent="0.1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x14ac:dyDescent="0.1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</sheetData>
  <mergeCells count="10">
    <mergeCell ref="A18:B18"/>
    <mergeCell ref="A23:B23"/>
    <mergeCell ref="B1:T1"/>
    <mergeCell ref="G2:I2"/>
    <mergeCell ref="C2:D2"/>
    <mergeCell ref="E2:F2"/>
    <mergeCell ref="C4:E4"/>
    <mergeCell ref="A6:B6"/>
    <mergeCell ref="A14:B14"/>
    <mergeCell ref="A10:B10"/>
  </mergeCells>
  <pageMargins left="0.3" right="0.3" top="0.3" bottom="0.3" header="0" footer="0"/>
  <pageSetup paperSize="3" scale="7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3</vt:i4>
      </vt:variant>
    </vt:vector>
  </HeadingPairs>
  <TitlesOfParts>
    <vt:vector size="6" baseType="lpstr">
      <vt:lpstr>Phase 1</vt:lpstr>
      <vt:lpstr>Phase 2 </vt:lpstr>
      <vt:lpstr>Phase 3</vt:lpstr>
      <vt:lpstr>Phase 1!Print_Area</vt:lpstr>
      <vt:lpstr>Phase 3!Print_Area</vt:lpstr>
      <vt:lpstr>Phase 2 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ranyab178@gmail.com</cp:lastModifiedBy>
  <cp:revision/>
  <dcterms:created xsi:type="dcterms:W3CDTF">2016-02-12T20:53:16Z</dcterms:created>
  <dcterms:modified xsi:type="dcterms:W3CDTF">2025-10-18T02:54:21Z</dcterms:modified>
  <cp:category/>
  <cp:contentStatus/>
</cp:coreProperties>
</file>